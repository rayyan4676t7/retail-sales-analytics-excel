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973949F7F82B14C/Documents/"/>
    </mc:Choice>
  </mc:AlternateContent>
  <xr:revisionPtr revIDLastSave="156" documentId="8_{99E9AC24-9ADF-461B-BE04-AE7625F514C6}" xr6:coauthVersionLast="47" xr6:coauthVersionMax="47" xr10:uidLastSave="{86931EB2-3A59-4C58-BF34-03AD8C8EA27F}"/>
  <bookViews>
    <workbookView minimized="1" xWindow="1365" yWindow="345" windowWidth="15375" windowHeight="7875" xr2:uid="{00000000-000D-0000-FFFF-FFFF00000000}"/>
  </bookViews>
  <sheets>
    <sheet name="Raw_Sales_Data" sheetId="1" r:id="rId1"/>
    <sheet name="Sales Summary" sheetId="3" r:id="rId2"/>
    <sheet name="Dashboard" sheetId="4" r:id="rId3"/>
    <sheet name="Start_Here" sheetId="2" r:id="rId4"/>
  </sheets>
  <definedNames>
    <definedName name="_xlnm._FilterDatabase" localSheetId="0" hidden="1">Raw_Sales_Data!$A$1:$K$181</definedName>
    <definedName name="_xlnm._FilterDatabase" localSheetId="3" hidden="1">Start_Here!$A$1:$B$12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E3" i="4"/>
  <c r="B3" i="4"/>
  <c r="H3" i="3"/>
  <c r="H4" i="3"/>
  <c r="H5" i="3"/>
  <c r="H6" i="3"/>
  <c r="H2" i="3"/>
  <c r="H12" i="3"/>
  <c r="E3" i="3"/>
  <c r="E4" i="3"/>
  <c r="E5" i="3"/>
  <c r="E2" i="3"/>
  <c r="B5" i="3"/>
  <c r="B2" i="3"/>
  <c r="B4" i="3"/>
  <c r="B3" i="3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C189" i="1"/>
  <c r="C188" i="1"/>
  <c r="D186" i="1"/>
  <c r="D189" i="1"/>
  <c r="F13" i="3"/>
  <c r="E189" i="1"/>
  <c r="H11" i="3"/>
</calcChain>
</file>

<file path=xl/sharedStrings.xml><?xml version="1.0" encoding="utf-8"?>
<sst xmlns="http://schemas.openxmlformats.org/spreadsheetml/2006/main" count="1322" uniqueCount="280">
  <si>
    <t>Order_ID</t>
  </si>
  <si>
    <t>Order_Date</t>
  </si>
  <si>
    <t>Region</t>
  </si>
  <si>
    <t>City</t>
  </si>
  <si>
    <t>Category</t>
  </si>
  <si>
    <t>Product</t>
  </si>
  <si>
    <t>Units_Sold</t>
  </si>
  <si>
    <t>Unit_Price_INR</t>
  </si>
  <si>
    <t>Unit_Cost_INR</t>
  </si>
  <si>
    <t>Sales_Channel</t>
  </si>
  <si>
    <t>Salesperson</t>
  </si>
  <si>
    <t>ORD-0001</t>
  </si>
  <si>
    <t>South</t>
  </si>
  <si>
    <t>Hyderabad</t>
  </si>
  <si>
    <t>Stationery</t>
  </si>
  <si>
    <t>Notebook Pack</t>
  </si>
  <si>
    <t>Online</t>
  </si>
  <si>
    <t>Sara</t>
  </si>
  <si>
    <t>ORD-0002</t>
  </si>
  <si>
    <t>Kochi</t>
  </si>
  <si>
    <t>Accessories</t>
  </si>
  <si>
    <t>Wireless Mouse</t>
  </si>
  <si>
    <t>Ishaan</t>
  </si>
  <si>
    <t>ORD-0003</t>
  </si>
  <si>
    <t>West</t>
  </si>
  <si>
    <t>Surat</t>
  </si>
  <si>
    <t>Laptop Stand</t>
  </si>
  <si>
    <t>Retail Store</t>
  </si>
  <si>
    <t>ORD-0004</t>
  </si>
  <si>
    <t>East</t>
  </si>
  <si>
    <t>Patna</t>
  </si>
  <si>
    <t>Electronics</t>
  </si>
  <si>
    <t>27-inch Monitor</t>
  </si>
  <si>
    <t>Meera</t>
  </si>
  <si>
    <t>ORD-0005</t>
  </si>
  <si>
    <t>Chennai</t>
  </si>
  <si>
    <t>Laptop Backpack</t>
  </si>
  <si>
    <t>Corporate Sales</t>
  </si>
  <si>
    <t>ORD-0006</t>
  </si>
  <si>
    <t>Mechanical Keyboard</t>
  </si>
  <si>
    <t>ORD-0007</t>
  </si>
  <si>
    <t>Furniture</t>
  </si>
  <si>
    <t>Desk Lamp</t>
  </si>
  <si>
    <t>Aarav</t>
  </si>
  <si>
    <t>ORD-0008</t>
  </si>
  <si>
    <t>Storage</t>
  </si>
  <si>
    <t>External SSD 1TB</t>
  </si>
  <si>
    <t>Marketplace</t>
  </si>
  <si>
    <t>Kabir</t>
  </si>
  <si>
    <t>ORD-0009</t>
  </si>
  <si>
    <t>Ahmedabad</t>
  </si>
  <si>
    <t>ORD-0010</t>
  </si>
  <si>
    <t>Pune</t>
  </si>
  <si>
    <t>ORD-0011</t>
  </si>
  <si>
    <t>Mumbai</t>
  </si>
  <si>
    <t>Whiteboard</t>
  </si>
  <si>
    <t>ORD-0012</t>
  </si>
  <si>
    <t>North</t>
  </si>
  <si>
    <t>Jaipur</t>
  </si>
  <si>
    <t>Diya</t>
  </si>
  <si>
    <t>ORD-0013</t>
  </si>
  <si>
    <t>ORD-0014</t>
  </si>
  <si>
    <t>ORD-0015</t>
  </si>
  <si>
    <t>Kolkata</t>
  </si>
  <si>
    <t>Headphones</t>
  </si>
  <si>
    <t>ORD-0016</t>
  </si>
  <si>
    <t>ORD-0017</t>
  </si>
  <si>
    <t>USB-C Hub</t>
  </si>
  <si>
    <t>ORD-0018</t>
  </si>
  <si>
    <t>ORD-0019</t>
  </si>
  <si>
    <t>Office Chair</t>
  </si>
  <si>
    <t>ORD-0020</t>
  </si>
  <si>
    <t>ORD-0021</t>
  </si>
  <si>
    <t>ORD-0022</t>
  </si>
  <si>
    <t>Bhubaneswar</t>
  </si>
  <si>
    <t>Portable HDD 2TB</t>
  </si>
  <si>
    <t>ORD-0023</t>
  </si>
  <si>
    <t>Chandigarh</t>
  </si>
  <si>
    <t>ORD-0024</t>
  </si>
  <si>
    <t>Bengaluru</t>
  </si>
  <si>
    <t>ORD-0025</t>
  </si>
  <si>
    <t>ORD-0026</t>
  </si>
  <si>
    <t>ORD-0027</t>
  </si>
  <si>
    <t>Ranchi</t>
  </si>
  <si>
    <t>ORD-0028</t>
  </si>
  <si>
    <t>ORD-0029</t>
  </si>
  <si>
    <t>Delhi</t>
  </si>
  <si>
    <t>ORD-0030</t>
  </si>
  <si>
    <t>ORD-0031</t>
  </si>
  <si>
    <t>ORD-0032</t>
  </si>
  <si>
    <t>electronics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</si>
  <si>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</si>
  <si>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</si>
  <si>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</si>
  <si>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</si>
  <si>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</si>
  <si>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</si>
  <si>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</si>
  <si>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</si>
  <si>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</si>
  <si>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</si>
  <si>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</si>
  <si>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</si>
  <si>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</si>
  <si>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</si>
  <si>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</si>
  <si>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</si>
  <si>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Webcam</t>
  </si>
  <si>
    <t>ORD-0049</t>
  </si>
  <si>
    <t>ORD-0050</t>
  </si>
  <si>
    <t>ORD-0051</t>
  </si>
  <si>
    <t>Lucknow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</si>
  <si>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</si>
  <si>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</si>
  <si>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</si>
  <si>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</si>
  <si>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</si>
  <si>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</si>
  <si>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</si>
  <si>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</si>
  <si>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</si>
  <si>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</si>
  <si>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</si>
  <si>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</si>
  <si>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</si>
  <si>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</si>
  <si>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</si>
  <si>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</si>
  <si>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</si>
  <si>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</si>
  <si>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</si>
  <si>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</si>
  <si>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</si>
  <si>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</si>
  <si>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</si>
  <si>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</si>
  <si>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south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</si>
  <si>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</si>
  <si>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</si>
  <si>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</si>
  <si>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</si>
  <si>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</si>
  <si>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</si>
  <si>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</si>
  <si>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</si>
  <si>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</si>
  <si>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</si>
  <si>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</si>
  <si>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</si>
  <si>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</si>
  <si>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</si>
  <si>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</si>
  <si>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</si>
  <si>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</si>
  <si>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</si>
  <si>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</si>
  <si>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</si>
  <si>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</si>
  <si>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</si>
  <si>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</si>
  <si>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</si>
  <si>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</si>
  <si>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 xml:space="preserve"> Wireless Mouse 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</si>
  <si>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</si>
  <si>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</si>
  <si>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</si>
  <si>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</si>
  <si>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</si>
  <si>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</si>
  <si>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</si>
  <si>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</si>
  <si>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</si>
  <si>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</si>
  <si>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</si>
  <si>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</si>
  <si>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</si>
  <si>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</si>
  <si>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</si>
  <si>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</si>
  <si>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</si>
  <si>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</si>
  <si>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</si>
  <si>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</si>
  <si>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</si>
  <si>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</si>
  <si>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</si>
  <si>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</si>
  <si>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</si>
  <si>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</si>
  <si>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</si>
  <si>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</si>
  <si>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</si>
  <si>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</si>
  <si>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</si>
  <si>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</si>
  <si>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</si>
  <si>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</si>
  <si>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</si>
  <si>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</si>
  <si>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</si>
  <si>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</si>
  <si>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</si>
  <si>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</si>
  <si>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</si>
  <si>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</si>
  <si>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</si>
  <si>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</si>
  <si>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</si>
  <si>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</si>
  <si>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</si>
  <si>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</si>
  <si>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</si>
  <si>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</si>
  <si>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</si>
  <si>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</si>
  <si>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</si>
  <si>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</si>
  <si>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</si>
  <si>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</si>
  <si>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</si>
  <si>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</si>
  <si>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</si>
  <si>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</si>
  <si>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</si>
  <si>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</si>
  <si>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</si>
  <si>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</si>
  <si>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</si>
  <si>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</si>
  <si>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</si>
  <si>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</si>
  <si>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</si>
  <si>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</si>
  <si>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</si>
  <si>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</si>
  <si>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</si>
  <si>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</si>
  <si>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</si>
  <si>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</si>
  <si>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</si>
  <si>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</si>
  <si>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</si>
  <si>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</si>
  <si>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RETAIL SALES ANALYTICS — PROJECT GUIDE</t>
  </si>
  <si>
    <t>Purpose</t>
  </si>
  <si>
    <t>Practise Excel data cleaning, formulas, PivotTables, charts, and business insights.</t>
  </si>
  <si>
    <t>Important</t>
  </si>
  <si>
    <t>Work on a copy of Raw_Sales_Data before cleaning. Keep the raw data unchanged.</t>
  </si>
  <si>
    <t>Dataset</t>
  </si>
  <si>
    <t>181 rows including one intentional duplicate; several small data-quality issues are included.</t>
  </si>
  <si>
    <t>Columns</t>
  </si>
  <si>
    <t>Order_ID, Order_Date, Region, City, Category, Product, Units_Sold, Unit_Price_INR, Unit_Cost_INR, Sales_Channel, Salesperson</t>
  </si>
  <si>
    <t>Project stages</t>
  </si>
  <si>
    <t>1. Inspect and clean data; 2. Calculate Sales, Cost, Profit; 3. Answer business questions; 4. Build PivotTables/charts; 5. Create a dashboard.</t>
  </si>
  <si>
    <t>Stage 1 — Inspect</t>
  </si>
  <si>
    <t>Turn the raw range into an Excel Table (Ctrl+T). Check blanks, duplicates, inconsistent capitalization, and extra spaces.</t>
  </si>
  <si>
    <t>Stage 2 — Calculate</t>
  </si>
  <si>
    <t>Add columns: Sales_INR = Units_Sold × Unit_Price_INR; Cost_INR = Units_Sold × Unit_Cost_INR; Profit_INR = Sales_INR − Cost_INR.</t>
  </si>
  <si>
    <t>Stage 3 — Questions</t>
  </si>
  <si>
    <t>What is total sales? What is total profit? Which product has the highest sales? Which region has the highest profit? Which month has the highest sales?</t>
  </si>
  <si>
    <t>Stage 4 — Analysis</t>
  </si>
  <si>
    <t>Create PivotTables for sales by region, profit by category, monthly sales, and top products.</t>
  </si>
  <si>
    <t>Stage 5 — Dashboard</t>
  </si>
  <si>
    <t>Show Total Sales, Total Profit, Total Orders, and Profit Margin, plus 2–3 charts.</t>
  </si>
  <si>
    <t>Rules</t>
  </si>
  <si>
    <t>Do not delete rows until you have checked duplicates. Do not replace blanks blindly; decide whether each blank can be recovered or should be marked.</t>
  </si>
  <si>
    <t>Sales_INR</t>
  </si>
  <si>
    <t>Cost_INR</t>
  </si>
  <si>
    <t>Metric</t>
  </si>
  <si>
    <t>Value</t>
  </si>
  <si>
    <t>Total Sales</t>
  </si>
  <si>
    <t>Total Cost</t>
  </si>
  <si>
    <t>Total Profit</t>
  </si>
  <si>
    <t>Profit_INR</t>
  </si>
  <si>
    <t>Profit Margin</t>
  </si>
  <si>
    <t>RETAIL SALES ANALYTICS DASHBOARD</t>
  </si>
  <si>
    <t>BUSINESS INSIGHTS</t>
  </si>
  <si>
    <t>West generated the highest regional sales.</t>
  </si>
  <si>
    <t>Storage generated the highest category profit.</t>
  </si>
  <si>
    <t>Overall profit margin was 28.32%.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</si>
</sst>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&quot;₹&quot;#,##0.00"/>
    <numFmt numFmtId="166" formatCode="&quot;$&quot;#,##0.00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center" wrapText="1"/>
    </xf>
    <xf numFmtId="10" fontId="0" fillId="0" borderId="0" xfId="0" applyNumberFormat="1"/>
    <xf numFmtId="10" fontId="4" fillId="0" borderId="0" xfId="0" applyNumberFormat="1" applyFont="1"/>
    <xf numFmtId="166" fontId="0" fillId="0" borderId="0" xfId="0" applyNumberFormat="1"/>
    <xf numFmtId="0" fontId="2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₹&quot;#,##0.00"/>
    </dxf>
    <dxf>
      <numFmt numFmtId="165" formatCode="&quot;₹&quot;#,##0.00"/>
    </dxf>
    <dxf>
      <numFmt numFmtId="1" formatCode="0"/>
    </dxf>
    <dxf>
      <numFmt numFmtId="164" formatCode="dd\-m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7365D"/>
        </patternFill>
      </fill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Product Category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632163399787793"/>
          <c:y val="2.24958838650434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Summary'!$G$2:$G$6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  <c:pt idx="3">
                  <c:v>Accessories</c:v>
                </c:pt>
                <c:pt idx="4">
                  <c:v>Storage</c:v>
                </c:pt>
              </c:strCache>
            </c:strRef>
          </c:cat>
          <c:val>
            <c:numRef>
              <c:f>'Sales Summary'!$H$2:$H$6</c:f>
              <c:numCache>
                <c:formatCode>General</c:formatCode>
                <c:ptCount val="5"/>
                <c:pt idx="0">
                  <c:v>127840</c:v>
                </c:pt>
                <c:pt idx="1">
                  <c:v>86560</c:v>
                </c:pt>
                <c:pt idx="2">
                  <c:v>22388</c:v>
                </c:pt>
                <c:pt idx="3">
                  <c:v>116177.5</c:v>
                </c:pt>
                <c:pt idx="4">
                  <c:v>142090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5-49CE-8B67-FC742FE1AD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1561568"/>
        <c:axId val="333908336"/>
      </c:barChart>
      <c:catAx>
        <c:axId val="931561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908336"/>
        <c:crosses val="autoZero"/>
        <c:auto val="1"/>
        <c:lblAlgn val="ctr"/>
        <c:lblOffset val="100"/>
        <c:noMultiLvlLbl val="0"/>
      </c:catAx>
      <c:valAx>
        <c:axId val="33390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56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Summary'!$E$1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Summary'!$D$2:$D$5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'Sales Summary'!$E$2:$E$5</c:f>
              <c:numCache>
                <c:formatCode>General</c:formatCode>
                <c:ptCount val="4"/>
                <c:pt idx="0">
                  <c:v>241601</c:v>
                </c:pt>
                <c:pt idx="1">
                  <c:v>445000</c:v>
                </c:pt>
                <c:pt idx="2">
                  <c:v>460998.5</c:v>
                </c:pt>
                <c:pt idx="3">
                  <c:v>602666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3-468F-A575-9EE9C2CC5D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4354608"/>
        <c:axId val="333924176"/>
      </c:barChart>
      <c:catAx>
        <c:axId val="37435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924176"/>
        <c:crosses val="autoZero"/>
        <c:auto val="1"/>
        <c:lblAlgn val="ctr"/>
        <c:lblOffset val="100"/>
        <c:noMultiLvlLbl val="0"/>
      </c:catAx>
      <c:valAx>
        <c:axId val="33392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5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Product Category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632163399787793"/>
          <c:y val="2.24958838650434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Summary'!$G$2:$G$6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  <c:pt idx="3">
                  <c:v>Accessories</c:v>
                </c:pt>
                <c:pt idx="4">
                  <c:v>Storage</c:v>
                </c:pt>
              </c:strCache>
            </c:strRef>
          </c:cat>
          <c:val>
            <c:numRef>
              <c:f>'Sales Summary'!$H$2:$H$6</c:f>
              <c:numCache>
                <c:formatCode>General</c:formatCode>
                <c:ptCount val="5"/>
                <c:pt idx="0">
                  <c:v>127840</c:v>
                </c:pt>
                <c:pt idx="1">
                  <c:v>86560</c:v>
                </c:pt>
                <c:pt idx="2">
                  <c:v>22388</c:v>
                </c:pt>
                <c:pt idx="3">
                  <c:v>116177.5</c:v>
                </c:pt>
                <c:pt idx="4">
                  <c:v>142090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4-496D-9908-453FDDA502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1561568"/>
        <c:axId val="333908336"/>
      </c:barChart>
      <c:catAx>
        <c:axId val="931561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908336"/>
        <c:crosses val="autoZero"/>
        <c:auto val="1"/>
        <c:lblAlgn val="ctr"/>
        <c:lblOffset val="100"/>
        <c:noMultiLvlLbl val="0"/>
      </c:catAx>
      <c:valAx>
        <c:axId val="33390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56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Summary'!$E$1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Summary'!$D$2:$D$5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'Sales Summary'!$E$2:$E$5</c:f>
              <c:numCache>
                <c:formatCode>General</c:formatCode>
                <c:ptCount val="4"/>
                <c:pt idx="0">
                  <c:v>241601</c:v>
                </c:pt>
                <c:pt idx="1">
                  <c:v>445000</c:v>
                </c:pt>
                <c:pt idx="2">
                  <c:v>460998.5</c:v>
                </c:pt>
                <c:pt idx="3">
                  <c:v>602666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A-4353-B2B6-1332A0C30E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4354608"/>
        <c:axId val="333924176"/>
      </c:barChart>
      <c:catAx>
        <c:axId val="37435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924176"/>
        <c:crosses val="autoZero"/>
        <c:auto val="1"/>
        <c:lblAlgn val="ctr"/>
        <c:lblOffset val="100"/>
        <c:noMultiLvlLbl val="0"/>
      </c:catAx>
      <c:valAx>
        <c:axId val="33392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35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7</xdr:row>
      <xdr:rowOff>9525</xdr:rowOff>
    </xdr:from>
    <xdr:to>
      <xdr:col>10</xdr:col>
      <xdr:colOff>142875</xdr:colOff>
      <xdr:row>16</xdr:row>
      <xdr:rowOff>4760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42DF94-35B5-DCD1-8399-A4D016B67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95250</xdr:colOff>
      <xdr:row>6</xdr:row>
      <xdr:rowOff>95250</xdr:rowOff>
    </xdr:from>
    <xdr:to>
      <xdr:col>5</xdr:col>
      <xdr:colOff>76200</xdr:colOff>
      <xdr:row>17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58DF5E-0A44-403F-5F8F-6E345D859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4</xdr:col>
      <xdr:colOff>733425</xdr:colOff>
      <xdr:row>14</xdr:row>
      <xdr:rowOff>185735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3FC0C1-7BAA-4BEE-A339-CBDDCA8BB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5</xdr:row>
      <xdr:rowOff>28575</xdr:rowOff>
    </xdr:from>
    <xdr:to>
      <xdr:col>8</xdr:col>
      <xdr:colOff>285750</xdr:colOff>
      <xdr:row>16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CACFFC-C3A7-4D7C-943E-6FE88E4EC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D3AC2-0925-4EA6-824D-378BDFF8CB62}" name="Table1" displayName="Table1" ref="A1:N181" totalsRowShown="0" headerRowDxfId="8">
  <autoFilter ref="A1:N181" xr:uid="{E77D3AC2-0925-4EA6-824D-378BDFF8CB62}"/>
  <tableColumns count="14">
    <tableColumn id="1" xr3:uid="{D1838364-4521-470A-A4F1-75337AD1DEA8}" name="Order_ID"/>
    <tableColumn id="2" xr3:uid="{707FB7C0-85AB-4877-81AC-60EAD5345BE0}" name="Order_Date" dataDxfId="7"/>
    <tableColumn id="3" xr3:uid="{CA9ED437-AA32-4071-910A-D906F549CC92}" name="Region"/>
    <tableColumn id="4" xr3:uid="{29911510-6063-47C9-8387-18D679363F46}" name="City"/>
    <tableColumn id="5" xr3:uid="{E039E7CD-E980-49FB-BF5E-9AA5AA250096}" name="Category"/>
    <tableColumn id="6" xr3:uid="{CE4A44EB-8CF0-4CEE-AB41-C61A91C64FE2}" name="Product"/>
    <tableColumn id="7" xr3:uid="{8671782B-3BE4-446A-8D4E-BE885EB7158B}" name="Units_Sold" dataDxfId="6"/>
    <tableColumn id="8" xr3:uid="{627F822B-73B5-4D4F-8E1F-0DD41080460F}" name="Unit_Price_INR" dataDxfId="5"/>
    <tableColumn id="9" xr3:uid="{7472DF4C-E515-4327-BE8F-7B5C1E3F475B}" name="Unit_Cost_INR" dataDxfId="4"/>
    <tableColumn id="10" xr3:uid="{E72C43F3-4490-4839-9693-7E50E25D03AF}" name="Sales_Channel"/>
    <tableColumn id="11" xr3:uid="{89BC3CA8-F586-4C65-A7D5-97B051B86800}" name="Salesperson"/>
    <tableColumn id="12" xr3:uid="{3674E546-614F-4ACA-9F9A-A2FBBFAA4CAF}" name="Sales_INR" dataDxfId="3">
      <calculatedColumnFormula>G2*H2</calculatedColumnFormula>
    </tableColumn>
    <tableColumn id="13" xr3:uid="{AEEBF95C-0985-44C2-BA7F-3C19E4775222}" name="Cost_INR" dataDxfId="2">
      <calculatedColumnFormula>G2*I2</calculatedColumnFormula>
    </tableColumn>
    <tableColumn id="14" xr3:uid="{B5B98C7B-1A91-4A27-9C75-F4EE9CA1CAFB}" name="Profit_INR" dataDxfId="1">
      <calculatedColumnFormula>L2-M2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64EDD3-C565-42BA-9C96-349881E8E311}" name="Table2" displayName="Table2" ref="A1:B5" totalsRowShown="0">
  <autoFilter ref="A1:B5" xr:uid="{8964EDD3-C565-42BA-9C96-349881E8E311}"/>
  <tableColumns count="2">
    <tableColumn id="1" xr3:uid="{6853743F-D45E-456E-8845-F5D668BF95C2}" name="Metric"/>
    <tableColumn id="2" xr3:uid="{8DF1815D-A820-4539-9B50-6AC52C19F38E}" name="Val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2F843B-DFD0-4E32-B3D5-959EBB88C495}" name="Table3" displayName="Table3" ref="D1:E5" totalsRowShown="0">
  <autoFilter ref="D1:E5" xr:uid="{FE2F843B-DFD0-4E32-B3D5-959EBB88C495}"/>
  <tableColumns count="2">
    <tableColumn id="1" xr3:uid="{B6A44F95-E76E-4FFD-AEEC-77F1AC5A239F}" name="Region"/>
    <tableColumn id="2" xr3:uid="{5FE3DF85-C5AD-435F-8FC8-987157E90ECC}" name="Total Sales">
      <calculatedColumnFormula>SUMIF(Raw_Sales_Data!C:C,D2,Raw_Sales_Data!L:L)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09B43A-E739-4E74-8281-142044DE33FE}" name="Table4" displayName="Table4" ref="G1:H6" totalsRowShown="0">
  <autoFilter ref="G1:H6" xr:uid="{BA09B43A-E739-4E74-8281-142044DE33FE}"/>
  <tableColumns count="2">
    <tableColumn id="1" xr3:uid="{3C33E15B-7C86-443A-B42E-E30148C7A610}" name="Category"/>
    <tableColumn id="2" xr3:uid="{DB821923-5377-4612-91CB-5D3D011134B7}" name="Total Profit" dataDxfId="0">
      <calculatedColumnFormula>SUMIF(Raw_Sales_Data!E$2:E$182,G2,Raw_Sales_Data!N$2:N$182)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9"/>
  <sheetViews>
    <sheetView tabSelected="1" zoomScale="85" zoomScaleNormal="85" workbookViewId="0">
      <pane ySplit="1" topLeftCell="A179" activePane="bottomLeft" state="frozen"/>
      <selection pane="bottomLeft" activeCell="A2" sqref="A2"/>
    </sheetView>
  </sheetViews>
  <sheetFormatPr defaultRowHeight="15"/>
  <cols>
    <col min="1" max="2" width="15" customWidth="1"/>
    <col min="3" max="3" width="13" customWidth="1"/>
    <col min="4" max="4" width="17" customWidth="1"/>
    <col min="5" max="5" width="16" customWidth="1"/>
    <col min="6" max="6" width="23" customWidth="1"/>
    <col min="7" max="7" width="13" customWidth="1"/>
    <col min="8" max="8" width="17" customWidth="1"/>
    <col min="9" max="9" width="16" customWidth="1"/>
    <col min="10" max="10" width="19" customWidth="1"/>
    <col min="11" max="11" width="15" customWidth="1"/>
    <col min="12" max="12" width="10.7109375" customWidth="1"/>
    <col min="14" max="14" width="11.42578125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 t="s">
        <v>266</v>
      </c>
      <c r="M1" s="7" t="s">
        <v>267</v>
      </c>
      <c r="N1" s="7" t="s">
        <v>273</v>
      </c>
    </row>
    <row r="2" spans="1:14">
      <c r="A2" t="s">
        <v>11</v>
      </c>
      <c r="B2" s="2">
        <v>45729</v>
      </c>
      <c r="C2" t="s">
        <v>12</v>
      </c>
      <c r="D2" t="s">
        <v>13</v>
      </c>
      <c r="E2" t="s">
        <v>14</v>
      </c>
      <c r="F2" t="s">
        <v>15</v>
      </c>
      <c r="G2" s="3">
        <v>2</v>
      </c>
      <c r="H2" s="4">
        <v>280</v>
      </c>
      <c r="I2" s="4">
        <v>140</v>
      </c>
      <c r="J2" t="s">
        <v>16</v>
      </c>
      <c r="K2" t="s">
        <v>17</v>
      </c>
      <c r="L2">
        <f t="shared" ref="L2:L33" si="0">G2*H2</f>
        <v>560</v>
      </c>
      <c r="M2">
        <f t="shared" ref="M2:M33" si="1">G2*I2</f>
        <v>280</v>
      </c>
      <c r="N2">
        <f t="shared" ref="N2:N33" si="2">L2-M2</f>
        <v>280</v>
      </c>
    </row>
    <row r="3" spans="1:14">
      <c r="A3" t="s">
        <v>18</v>
      </c>
      <c r="B3" s="2">
        <v>45777</v>
      </c>
      <c r="C3" t="s">
        <v>12</v>
      </c>
      <c r="D3" t="s">
        <v>19</v>
      </c>
      <c r="E3" t="s">
        <v>20</v>
      </c>
      <c r="F3" t="s">
        <v>21</v>
      </c>
      <c r="G3" s="3">
        <v>1</v>
      </c>
      <c r="H3" s="4">
        <v>650</v>
      </c>
      <c r="I3" s="4">
        <v>360</v>
      </c>
      <c r="J3" t="s">
        <v>16</v>
      </c>
      <c r="K3" t="s">
        <v>22</v>
      </c>
      <c r="L3">
        <f t="shared" si="0"/>
        <v>650</v>
      </c>
      <c r="M3">
        <f t="shared" si="1"/>
        <v>360</v>
      </c>
      <c r="N3">
        <f t="shared" si="2"/>
        <v>290</v>
      </c>
    </row>
    <row r="4" spans="1:14">
      <c r="A4" t="s">
        <v>23</v>
      </c>
      <c r="B4" s="2">
        <v>45661</v>
      </c>
      <c r="C4" t="s">
        <v>24</v>
      </c>
      <c r="D4" t="s">
        <v>25</v>
      </c>
      <c r="E4" t="s">
        <v>20</v>
      </c>
      <c r="F4" t="s">
        <v>26</v>
      </c>
      <c r="G4" s="3">
        <v>2</v>
      </c>
      <c r="H4" s="4">
        <v>950</v>
      </c>
      <c r="I4" s="4">
        <v>520</v>
      </c>
      <c r="J4" t="s">
        <v>27</v>
      </c>
      <c r="K4" t="s">
        <v>17</v>
      </c>
      <c r="L4">
        <f t="shared" si="0"/>
        <v>1900</v>
      </c>
      <c r="M4">
        <f t="shared" si="1"/>
        <v>1040</v>
      </c>
      <c r="N4">
        <f t="shared" si="2"/>
        <v>860</v>
      </c>
    </row>
    <row r="5" spans="1:14">
      <c r="A5" t="s">
        <v>28</v>
      </c>
      <c r="B5" s="2">
        <v>45710</v>
      </c>
      <c r="C5" t="s">
        <v>29</v>
      </c>
      <c r="D5" t="s">
        <v>30</v>
      </c>
      <c r="E5" t="s">
        <v>31</v>
      </c>
      <c r="F5" t="s">
        <v>32</v>
      </c>
      <c r="G5" s="3">
        <v>1</v>
      </c>
      <c r="H5" s="4">
        <v>14500</v>
      </c>
      <c r="I5" s="4">
        <v>11200</v>
      </c>
      <c r="J5" t="s">
        <v>16</v>
      </c>
      <c r="K5" t="s">
        <v>33</v>
      </c>
      <c r="L5">
        <f t="shared" si="0"/>
        <v>14500</v>
      </c>
      <c r="M5">
        <f t="shared" si="1"/>
        <v>11200</v>
      </c>
      <c r="N5">
        <f t="shared" si="2"/>
        <v>3300</v>
      </c>
    </row>
    <row r="6" spans="1:14">
      <c r="A6" t="s">
        <v>34</v>
      </c>
      <c r="B6" s="2">
        <v>45680</v>
      </c>
      <c r="C6" t="s">
        <v>12</v>
      </c>
      <c r="D6" t="s">
        <v>35</v>
      </c>
      <c r="E6" t="s">
        <v>20</v>
      </c>
      <c r="F6" t="s">
        <v>36</v>
      </c>
      <c r="G6" s="3">
        <v>2</v>
      </c>
      <c r="H6" s="4">
        <v>1600</v>
      </c>
      <c r="I6" s="4">
        <v>920</v>
      </c>
      <c r="J6" t="s">
        <v>37</v>
      </c>
      <c r="K6" t="s">
        <v>22</v>
      </c>
      <c r="L6">
        <f t="shared" si="0"/>
        <v>3200</v>
      </c>
      <c r="M6">
        <f t="shared" si="1"/>
        <v>1840</v>
      </c>
      <c r="N6">
        <f t="shared" si="2"/>
        <v>1360</v>
      </c>
    </row>
    <row r="7" spans="1:14">
      <c r="A7" t="s">
        <v>38</v>
      </c>
      <c r="B7" s="2">
        <v>45843</v>
      </c>
      <c r="C7" t="s">
        <v>12</v>
      </c>
      <c r="D7" t="s">
        <v>19</v>
      </c>
      <c r="E7" t="s">
        <v>20</v>
      </c>
      <c r="F7" t="s">
        <v>39</v>
      </c>
      <c r="G7" s="3">
        <v>3</v>
      </c>
      <c r="H7" s="4">
        <v>1980</v>
      </c>
      <c r="I7" s="4">
        <v>1350</v>
      </c>
      <c r="J7" t="s">
        <v>27</v>
      </c>
      <c r="K7" t="s">
        <v>17</v>
      </c>
      <c r="L7">
        <f t="shared" si="0"/>
        <v>5940</v>
      </c>
      <c r="M7">
        <f t="shared" si="1"/>
        <v>4050</v>
      </c>
      <c r="N7">
        <f t="shared" si="2"/>
        <v>1890</v>
      </c>
    </row>
    <row r="8" spans="1:14">
      <c r="A8" t="s">
        <v>40</v>
      </c>
      <c r="B8" s="2">
        <v>45698</v>
      </c>
      <c r="C8" t="s">
        <v>12</v>
      </c>
      <c r="D8" t="s">
        <v>13</v>
      </c>
      <c r="E8" t="s">
        <v>41</v>
      </c>
      <c r="F8" t="s">
        <v>42</v>
      </c>
      <c r="G8" s="3">
        <v>1</v>
      </c>
      <c r="H8" s="4">
        <v>1200</v>
      </c>
      <c r="I8" s="4">
        <v>650</v>
      </c>
      <c r="J8" t="s">
        <v>27</v>
      </c>
      <c r="K8" t="s">
        <v>43</v>
      </c>
      <c r="L8">
        <f t="shared" si="0"/>
        <v>1200</v>
      </c>
      <c r="M8">
        <f t="shared" si="1"/>
        <v>650</v>
      </c>
      <c r="N8">
        <f t="shared" si="2"/>
        <v>550</v>
      </c>
    </row>
    <row r="9" spans="1:14">
      <c r="A9" t="s">
        <v>44</v>
      </c>
      <c r="B9" s="2">
        <v>45741</v>
      </c>
      <c r="C9" t="s">
        <v>29</v>
      </c>
      <c r="D9" t="s">
        <v>30</v>
      </c>
      <c r="E9" t="s">
        <v>45</v>
      </c>
      <c r="F9" t="s">
        <v>46</v>
      </c>
      <c r="G9" s="3">
        <v>3</v>
      </c>
      <c r="H9" s="4">
        <v>7200</v>
      </c>
      <c r="I9" s="4">
        <v>5450</v>
      </c>
      <c r="J9" t="s">
        <v>47</v>
      </c>
      <c r="K9" t="s">
        <v>48</v>
      </c>
      <c r="L9">
        <f t="shared" si="0"/>
        <v>21600</v>
      </c>
      <c r="M9">
        <f t="shared" si="1"/>
        <v>16350</v>
      </c>
      <c r="N9">
        <f t="shared" si="2"/>
        <v>5250</v>
      </c>
    </row>
    <row r="10" spans="1:14">
      <c r="A10" t="s">
        <v>49</v>
      </c>
      <c r="B10" s="2">
        <v>45969</v>
      </c>
      <c r="C10" t="s">
        <v>24</v>
      </c>
      <c r="D10" t="s">
        <v>50</v>
      </c>
      <c r="E10" t="s">
        <v>14</v>
      </c>
      <c r="F10" t="s">
        <v>15</v>
      </c>
      <c r="G10" s="3">
        <v>8</v>
      </c>
      <c r="H10" s="4">
        <v>280</v>
      </c>
      <c r="I10" s="4">
        <v>140</v>
      </c>
      <c r="J10" t="s">
        <v>27</v>
      </c>
      <c r="K10" t="s">
        <v>22</v>
      </c>
      <c r="L10">
        <f t="shared" si="0"/>
        <v>2240</v>
      </c>
      <c r="M10">
        <f t="shared" si="1"/>
        <v>1120</v>
      </c>
      <c r="N10">
        <f t="shared" si="2"/>
        <v>1120</v>
      </c>
    </row>
    <row r="11" spans="1:14">
      <c r="A11" t="s">
        <v>51</v>
      </c>
      <c r="B11" s="2">
        <v>45770</v>
      </c>
      <c r="C11" t="s">
        <v>24</v>
      </c>
      <c r="D11" t="s">
        <v>52</v>
      </c>
      <c r="E11" t="s">
        <v>45</v>
      </c>
      <c r="F11" t="s">
        <v>46</v>
      </c>
      <c r="G11" s="3">
        <v>2</v>
      </c>
      <c r="H11" s="4">
        <v>6480</v>
      </c>
      <c r="I11" s="4">
        <v>5450</v>
      </c>
      <c r="J11" t="s">
        <v>47</v>
      </c>
      <c r="K11" t="s">
        <v>43</v>
      </c>
      <c r="L11">
        <f t="shared" si="0"/>
        <v>12960</v>
      </c>
      <c r="M11">
        <f t="shared" si="1"/>
        <v>10900</v>
      </c>
      <c r="N11">
        <f t="shared" si="2"/>
        <v>2060</v>
      </c>
    </row>
    <row r="12" spans="1:14">
      <c r="A12" t="s">
        <v>53</v>
      </c>
      <c r="B12" s="2">
        <v>45691</v>
      </c>
      <c r="C12" t="s">
        <v>24</v>
      </c>
      <c r="D12" t="s">
        <v>54</v>
      </c>
      <c r="E12" t="s">
        <v>14</v>
      </c>
      <c r="F12" t="s">
        <v>55</v>
      </c>
      <c r="G12" s="3">
        <v>2</v>
      </c>
      <c r="H12" s="4">
        <v>1900</v>
      </c>
      <c r="I12" s="4">
        <v>1150</v>
      </c>
      <c r="J12" t="s">
        <v>27</v>
      </c>
      <c r="K12" t="s">
        <v>22</v>
      </c>
      <c r="L12">
        <f t="shared" si="0"/>
        <v>3800</v>
      </c>
      <c r="M12">
        <f t="shared" si="1"/>
        <v>2300</v>
      </c>
      <c r="N12">
        <f t="shared" si="2"/>
        <v>1500</v>
      </c>
    </row>
    <row r="13" spans="1:14">
      <c r="A13" t="s">
        <v>56</v>
      </c>
      <c r="B13" s="2">
        <v>45731</v>
      </c>
      <c r="C13" t="s">
        <v>57</v>
      </c>
      <c r="D13" t="s">
        <v>58</v>
      </c>
      <c r="E13" t="s">
        <v>41</v>
      </c>
      <c r="F13" t="s">
        <v>42</v>
      </c>
      <c r="G13" s="3">
        <v>3</v>
      </c>
      <c r="H13" s="4">
        <v>1140</v>
      </c>
      <c r="I13" s="4">
        <v>650</v>
      </c>
      <c r="J13" t="s">
        <v>47</v>
      </c>
      <c r="K13" t="s">
        <v>59</v>
      </c>
      <c r="L13">
        <f t="shared" si="0"/>
        <v>3420</v>
      </c>
      <c r="M13">
        <f t="shared" si="1"/>
        <v>1950</v>
      </c>
      <c r="N13">
        <f t="shared" si="2"/>
        <v>1470</v>
      </c>
    </row>
    <row r="14" spans="1:14">
      <c r="A14" t="s">
        <v>60</v>
      </c>
      <c r="B14" s="2">
        <v>45862</v>
      </c>
      <c r="C14" t="s">
        <v>24</v>
      </c>
      <c r="D14" t="s">
        <v>50</v>
      </c>
      <c r="E14" t="s">
        <v>14</v>
      </c>
      <c r="F14" t="s">
        <v>15</v>
      </c>
      <c r="G14" s="3">
        <v>3</v>
      </c>
      <c r="H14" s="4">
        <v>252</v>
      </c>
      <c r="I14" s="4">
        <v>140</v>
      </c>
      <c r="J14" t="s">
        <v>47</v>
      </c>
      <c r="K14" t="s">
        <v>59</v>
      </c>
      <c r="L14">
        <f t="shared" si="0"/>
        <v>756</v>
      </c>
      <c r="M14">
        <f t="shared" si="1"/>
        <v>420</v>
      </c>
      <c r="N14">
        <f t="shared" si="2"/>
        <v>336</v>
      </c>
    </row>
    <row r="15" spans="1:14">
      <c r="A15" t="s">
        <v>61</v>
      </c>
      <c r="B15" s="2">
        <v>45736</v>
      </c>
      <c r="C15" t="s">
        <v>24</v>
      </c>
      <c r="D15" t="s">
        <v>25</v>
      </c>
      <c r="E15" t="s">
        <v>20</v>
      </c>
      <c r="F15" t="s">
        <v>39</v>
      </c>
      <c r="G15" s="3">
        <v>4</v>
      </c>
      <c r="H15" s="4">
        <v>2200</v>
      </c>
      <c r="I15" s="4">
        <v>1350</v>
      </c>
      <c r="J15" t="s">
        <v>27</v>
      </c>
      <c r="K15" t="s">
        <v>17</v>
      </c>
      <c r="L15">
        <f t="shared" si="0"/>
        <v>8800</v>
      </c>
      <c r="M15">
        <f t="shared" si="1"/>
        <v>5400</v>
      </c>
      <c r="N15">
        <f t="shared" si="2"/>
        <v>3400</v>
      </c>
    </row>
    <row r="16" spans="1:14">
      <c r="A16" t="s">
        <v>62</v>
      </c>
      <c r="B16" s="2">
        <v>45928</v>
      </c>
      <c r="C16" t="s">
        <v>29</v>
      </c>
      <c r="D16" t="s">
        <v>63</v>
      </c>
      <c r="E16" t="s">
        <v>31</v>
      </c>
      <c r="F16" t="s">
        <v>64</v>
      </c>
      <c r="G16" s="3">
        <v>2</v>
      </c>
      <c r="H16" s="4">
        <v>2280</v>
      </c>
      <c r="I16" s="4">
        <v>1450</v>
      </c>
      <c r="J16" t="s">
        <v>47</v>
      </c>
      <c r="K16" t="s">
        <v>22</v>
      </c>
      <c r="L16">
        <f t="shared" si="0"/>
        <v>4560</v>
      </c>
      <c r="M16">
        <f t="shared" si="1"/>
        <v>2900</v>
      </c>
      <c r="N16">
        <f t="shared" si="2"/>
        <v>1660</v>
      </c>
    </row>
    <row r="17" spans="1:14">
      <c r="A17" t="s">
        <v>65</v>
      </c>
      <c r="B17" s="2">
        <v>45986</v>
      </c>
      <c r="C17" t="s">
        <v>12</v>
      </c>
      <c r="D17" t="s">
        <v>13</v>
      </c>
      <c r="E17" t="s">
        <v>41</v>
      </c>
      <c r="F17" t="s">
        <v>42</v>
      </c>
      <c r="G17" s="3">
        <v>6</v>
      </c>
      <c r="H17" s="4">
        <v>1200</v>
      </c>
      <c r="I17" s="4">
        <v>650</v>
      </c>
      <c r="J17" t="s">
        <v>47</v>
      </c>
      <c r="K17" t="s">
        <v>43</v>
      </c>
      <c r="L17">
        <f t="shared" si="0"/>
        <v>7200</v>
      </c>
      <c r="M17">
        <f t="shared" si="1"/>
        <v>3900</v>
      </c>
      <c r="N17">
        <f t="shared" si="2"/>
        <v>3300</v>
      </c>
    </row>
    <row r="18" spans="1:14">
      <c r="A18" t="s">
        <v>66</v>
      </c>
      <c r="B18" s="2">
        <v>45914</v>
      </c>
      <c r="C18" t="s">
        <v>57</v>
      </c>
      <c r="E18" t="s">
        <v>20</v>
      </c>
      <c r="F18" t="s">
        <v>67</v>
      </c>
      <c r="G18" s="3">
        <v>2</v>
      </c>
      <c r="H18" s="4">
        <v>1800</v>
      </c>
      <c r="I18" s="4">
        <v>1050</v>
      </c>
      <c r="J18" t="s">
        <v>27</v>
      </c>
      <c r="K18" t="s">
        <v>22</v>
      </c>
      <c r="L18">
        <f t="shared" si="0"/>
        <v>3600</v>
      </c>
      <c r="M18">
        <f t="shared" si="1"/>
        <v>2100</v>
      </c>
      <c r="N18">
        <f t="shared" si="2"/>
        <v>1500</v>
      </c>
    </row>
    <row r="19" spans="1:14">
      <c r="A19" t="s">
        <v>68</v>
      </c>
      <c r="B19" s="2">
        <v>45759</v>
      </c>
      <c r="C19" t="s">
        <v>12</v>
      </c>
      <c r="D19" t="s">
        <v>35</v>
      </c>
      <c r="E19" t="s">
        <v>20</v>
      </c>
      <c r="F19" t="s">
        <v>36</v>
      </c>
      <c r="G19" s="3">
        <v>3</v>
      </c>
      <c r="H19" s="4">
        <v>1440</v>
      </c>
      <c r="I19" s="4">
        <v>920</v>
      </c>
      <c r="J19" t="s">
        <v>27</v>
      </c>
      <c r="K19" t="s">
        <v>48</v>
      </c>
      <c r="L19">
        <f t="shared" si="0"/>
        <v>4320</v>
      </c>
      <c r="M19">
        <f t="shared" si="1"/>
        <v>2760</v>
      </c>
      <c r="N19">
        <f t="shared" si="2"/>
        <v>1560</v>
      </c>
    </row>
    <row r="20" spans="1:14">
      <c r="A20" t="s">
        <v>69</v>
      </c>
      <c r="B20" s="2">
        <v>45715</v>
      </c>
      <c r="C20" t="s">
        <v>24</v>
      </c>
      <c r="D20" t="s">
        <v>54</v>
      </c>
      <c r="E20" t="s">
        <v>41</v>
      </c>
      <c r="F20" t="s">
        <v>70</v>
      </c>
      <c r="G20" s="3">
        <v>2</v>
      </c>
      <c r="H20" s="4">
        <v>8500</v>
      </c>
      <c r="I20" s="4">
        <v>6100</v>
      </c>
      <c r="J20" t="s">
        <v>47</v>
      </c>
      <c r="K20" t="s">
        <v>48</v>
      </c>
      <c r="L20">
        <f t="shared" si="0"/>
        <v>17000</v>
      </c>
      <c r="M20">
        <f t="shared" si="1"/>
        <v>12200</v>
      </c>
      <c r="N20">
        <f t="shared" si="2"/>
        <v>4800</v>
      </c>
    </row>
    <row r="21" spans="1:14">
      <c r="A21" t="s">
        <v>71</v>
      </c>
      <c r="B21" s="2">
        <v>45701</v>
      </c>
      <c r="C21" t="s">
        <v>24</v>
      </c>
      <c r="D21" t="s">
        <v>54</v>
      </c>
      <c r="E21" t="s">
        <v>20</v>
      </c>
      <c r="F21" t="s">
        <v>26</v>
      </c>
      <c r="G21" s="3">
        <v>6</v>
      </c>
      <c r="H21" s="4">
        <v>950</v>
      </c>
      <c r="I21" s="4">
        <v>520</v>
      </c>
      <c r="J21" t="s">
        <v>37</v>
      </c>
      <c r="K21" t="s">
        <v>43</v>
      </c>
      <c r="L21">
        <f t="shared" si="0"/>
        <v>5700</v>
      </c>
      <c r="M21">
        <f t="shared" si="1"/>
        <v>3120</v>
      </c>
      <c r="N21">
        <f t="shared" si="2"/>
        <v>2580</v>
      </c>
    </row>
    <row r="22" spans="1:14">
      <c r="A22" t="s">
        <v>72</v>
      </c>
      <c r="B22" s="2">
        <v>45742</v>
      </c>
      <c r="C22" t="s">
        <v>24</v>
      </c>
      <c r="D22" t="s">
        <v>52</v>
      </c>
      <c r="E22" t="s">
        <v>41</v>
      </c>
      <c r="F22" t="s">
        <v>42</v>
      </c>
      <c r="G22" s="3">
        <v>3</v>
      </c>
      <c r="H22" s="4">
        <v>1080</v>
      </c>
      <c r="I22" s="4">
        <v>650</v>
      </c>
      <c r="J22" t="s">
        <v>47</v>
      </c>
      <c r="K22" t="s">
        <v>22</v>
      </c>
      <c r="L22">
        <f t="shared" si="0"/>
        <v>3240</v>
      </c>
      <c r="M22">
        <f t="shared" si="1"/>
        <v>1950</v>
      </c>
      <c r="N22">
        <f t="shared" si="2"/>
        <v>1290</v>
      </c>
    </row>
    <row r="23" spans="1:14">
      <c r="A23" t="s">
        <v>73</v>
      </c>
      <c r="B23" s="2">
        <v>45817</v>
      </c>
      <c r="C23" t="s">
        <v>29</v>
      </c>
      <c r="D23" t="s">
        <v>74</v>
      </c>
      <c r="E23" t="s">
        <v>45</v>
      </c>
      <c r="F23" t="s">
        <v>75</v>
      </c>
      <c r="G23" s="3">
        <v>4</v>
      </c>
      <c r="H23" s="4">
        <v>5600</v>
      </c>
      <c r="I23" s="4">
        <v>4100</v>
      </c>
      <c r="J23" t="s">
        <v>37</v>
      </c>
      <c r="K23" t="s">
        <v>17</v>
      </c>
      <c r="L23">
        <f t="shared" si="0"/>
        <v>22400</v>
      </c>
      <c r="M23">
        <f t="shared" si="1"/>
        <v>16400</v>
      </c>
      <c r="N23">
        <f t="shared" si="2"/>
        <v>6000</v>
      </c>
    </row>
    <row r="24" spans="1:14">
      <c r="A24" t="s">
        <v>76</v>
      </c>
      <c r="B24" s="2">
        <v>45773</v>
      </c>
      <c r="C24" t="s">
        <v>57</v>
      </c>
      <c r="D24" t="s">
        <v>77</v>
      </c>
      <c r="E24" t="s">
        <v>45</v>
      </c>
      <c r="F24" t="s">
        <v>75</v>
      </c>
      <c r="G24" s="3">
        <v>2</v>
      </c>
      <c r="H24" s="4">
        <v>5600</v>
      </c>
      <c r="I24" s="4">
        <v>4100</v>
      </c>
      <c r="J24" t="s">
        <v>16</v>
      </c>
      <c r="K24" t="s">
        <v>48</v>
      </c>
      <c r="L24">
        <f t="shared" si="0"/>
        <v>11200</v>
      </c>
      <c r="M24">
        <f t="shared" si="1"/>
        <v>8200</v>
      </c>
      <c r="N24">
        <f t="shared" si="2"/>
        <v>3000</v>
      </c>
    </row>
    <row r="25" spans="1:14">
      <c r="A25" t="s">
        <v>78</v>
      </c>
      <c r="B25" s="2">
        <v>46020</v>
      </c>
      <c r="C25" t="s">
        <v>12</v>
      </c>
      <c r="D25" t="s">
        <v>79</v>
      </c>
      <c r="E25" t="s">
        <v>41</v>
      </c>
      <c r="F25" t="s">
        <v>70</v>
      </c>
      <c r="G25" s="3">
        <v>1</v>
      </c>
      <c r="H25" s="4">
        <v>8500</v>
      </c>
      <c r="I25" s="4">
        <v>6100</v>
      </c>
      <c r="J25" t="s">
        <v>16</v>
      </c>
      <c r="K25" t="s">
        <v>59</v>
      </c>
      <c r="L25">
        <f t="shared" si="0"/>
        <v>8500</v>
      </c>
      <c r="M25">
        <f t="shared" si="1"/>
        <v>6100</v>
      </c>
      <c r="N25">
        <f t="shared" si="2"/>
        <v>2400</v>
      </c>
    </row>
    <row r="26" spans="1:14">
      <c r="A26" t="s">
        <v>80</v>
      </c>
      <c r="B26" s="2">
        <v>45779</v>
      </c>
      <c r="C26" t="s">
        <v>12</v>
      </c>
      <c r="D26" t="s">
        <v>13</v>
      </c>
      <c r="E26" t="s">
        <v>20</v>
      </c>
      <c r="F26" t="s">
        <v>36</v>
      </c>
      <c r="G26" s="3">
        <v>2</v>
      </c>
      <c r="H26" s="4">
        <v>1440</v>
      </c>
      <c r="I26" s="4">
        <v>920</v>
      </c>
      <c r="J26" t="s">
        <v>47</v>
      </c>
      <c r="K26" t="s">
        <v>17</v>
      </c>
      <c r="L26">
        <f t="shared" si="0"/>
        <v>2880</v>
      </c>
      <c r="M26">
        <f t="shared" si="1"/>
        <v>1840</v>
      </c>
      <c r="N26">
        <f t="shared" si="2"/>
        <v>1040</v>
      </c>
    </row>
    <row r="27" spans="1:14">
      <c r="A27" t="s">
        <v>81</v>
      </c>
      <c r="B27" s="2">
        <v>45953</v>
      </c>
      <c r="C27" t="s">
        <v>29</v>
      </c>
      <c r="D27" t="s">
        <v>74</v>
      </c>
      <c r="E27" t="s">
        <v>45</v>
      </c>
      <c r="F27" t="s">
        <v>75</v>
      </c>
      <c r="G27" s="3">
        <v>1</v>
      </c>
      <c r="H27" s="4">
        <v>5040</v>
      </c>
      <c r="I27" s="4">
        <v>4100</v>
      </c>
      <c r="J27" t="s">
        <v>37</v>
      </c>
      <c r="K27" t="s">
        <v>59</v>
      </c>
      <c r="L27">
        <f t="shared" si="0"/>
        <v>5040</v>
      </c>
      <c r="M27">
        <f t="shared" si="1"/>
        <v>4100</v>
      </c>
      <c r="N27">
        <f t="shared" si="2"/>
        <v>940</v>
      </c>
    </row>
    <row r="28" spans="1:14">
      <c r="A28" t="s">
        <v>82</v>
      </c>
      <c r="B28" s="2">
        <v>45839</v>
      </c>
      <c r="C28" t="s">
        <v>29</v>
      </c>
      <c r="D28" t="s">
        <v>83</v>
      </c>
      <c r="E28" t="s">
        <v>20</v>
      </c>
      <c r="F28" t="s">
        <v>26</v>
      </c>
      <c r="G28" s="3">
        <v>1</v>
      </c>
      <c r="H28" s="4">
        <v>902.5</v>
      </c>
      <c r="I28" s="4">
        <v>520</v>
      </c>
      <c r="J28" t="s">
        <v>37</v>
      </c>
      <c r="K28" t="s">
        <v>33</v>
      </c>
      <c r="L28">
        <f t="shared" si="0"/>
        <v>902.5</v>
      </c>
      <c r="M28">
        <f t="shared" si="1"/>
        <v>520</v>
      </c>
      <c r="N28">
        <f t="shared" si="2"/>
        <v>382.5</v>
      </c>
    </row>
    <row r="29" spans="1:14">
      <c r="A29" t="s">
        <v>84</v>
      </c>
      <c r="B29" s="2">
        <v>45689</v>
      </c>
      <c r="C29" t="s">
        <v>29</v>
      </c>
      <c r="D29" t="s">
        <v>63</v>
      </c>
      <c r="E29" t="s">
        <v>41</v>
      </c>
      <c r="F29" t="s">
        <v>42</v>
      </c>
      <c r="G29" s="3">
        <v>4</v>
      </c>
      <c r="H29" s="4">
        <v>1200</v>
      </c>
      <c r="I29" s="4">
        <v>650</v>
      </c>
      <c r="J29" t="s">
        <v>37</v>
      </c>
      <c r="K29" t="s">
        <v>17</v>
      </c>
      <c r="L29">
        <f t="shared" si="0"/>
        <v>4800</v>
      </c>
      <c r="M29">
        <f t="shared" si="1"/>
        <v>2600</v>
      </c>
      <c r="N29">
        <f t="shared" si="2"/>
        <v>2200</v>
      </c>
    </row>
    <row r="30" spans="1:14">
      <c r="A30" t="s">
        <v>85</v>
      </c>
      <c r="B30" s="2">
        <v>45887</v>
      </c>
      <c r="C30" t="s">
        <v>57</v>
      </c>
      <c r="D30" t="s">
        <v>86</v>
      </c>
      <c r="E30" t="s">
        <v>20</v>
      </c>
      <c r="F30" t="s">
        <v>26</v>
      </c>
      <c r="G30" s="3">
        <v>1</v>
      </c>
      <c r="H30" s="4">
        <v>855</v>
      </c>
      <c r="I30" s="4">
        <v>520</v>
      </c>
      <c r="J30" t="s">
        <v>27</v>
      </c>
      <c r="K30" t="s">
        <v>33</v>
      </c>
      <c r="L30">
        <f t="shared" si="0"/>
        <v>855</v>
      </c>
      <c r="M30">
        <f t="shared" si="1"/>
        <v>520</v>
      </c>
      <c r="N30">
        <f t="shared" si="2"/>
        <v>335</v>
      </c>
    </row>
    <row r="31" spans="1:14">
      <c r="A31" t="s">
        <v>87</v>
      </c>
      <c r="B31" s="2">
        <v>45884</v>
      </c>
      <c r="C31" t="s">
        <v>24</v>
      </c>
      <c r="D31" t="s">
        <v>50</v>
      </c>
      <c r="E31" t="s">
        <v>45</v>
      </c>
      <c r="F31" t="s">
        <v>46</v>
      </c>
      <c r="G31" s="3">
        <v>2</v>
      </c>
      <c r="H31" s="4">
        <v>7200</v>
      </c>
      <c r="I31" s="4">
        <v>5450</v>
      </c>
      <c r="J31" t="s">
        <v>16</v>
      </c>
      <c r="K31" t="s">
        <v>43</v>
      </c>
      <c r="L31">
        <f t="shared" si="0"/>
        <v>14400</v>
      </c>
      <c r="M31">
        <f t="shared" si="1"/>
        <v>10900</v>
      </c>
      <c r="N31">
        <f t="shared" si="2"/>
        <v>3500</v>
      </c>
    </row>
    <row r="32" spans="1:14">
      <c r="A32" t="s">
        <v>88</v>
      </c>
      <c r="B32" s="2">
        <v>45866</v>
      </c>
      <c r="C32" t="s">
        <v>12</v>
      </c>
      <c r="D32" t="s">
        <v>13</v>
      </c>
      <c r="E32" t="s">
        <v>14</v>
      </c>
      <c r="F32" t="s">
        <v>55</v>
      </c>
      <c r="G32" s="3">
        <v>5</v>
      </c>
      <c r="H32" s="4">
        <v>1900</v>
      </c>
      <c r="I32" s="4">
        <v>1150</v>
      </c>
      <c r="J32" t="s">
        <v>37</v>
      </c>
      <c r="K32" t="s">
        <v>33</v>
      </c>
      <c r="L32">
        <f t="shared" si="0"/>
        <v>9500</v>
      </c>
      <c r="M32">
        <f t="shared" si="1"/>
        <v>5750</v>
      </c>
      <c r="N32">
        <f t="shared" si="2"/>
        <v>3750</v>
      </c>
    </row>
    <row r="33" spans="1:14">
      <c r="A33" t="s">
        <v>89</v>
      </c>
      <c r="B33" s="2">
        <v>45857</v>
      </c>
      <c r="C33" t="s">
        <v>24</v>
      </c>
      <c r="D33" t="s">
        <v>25</v>
      </c>
      <c r="E33" t="s">
        <v>90</v>
      </c>
      <c r="F33" t="s">
        <v>21</v>
      </c>
      <c r="G33" s="3">
        <v>1</v>
      </c>
      <c r="H33" s="4">
        <v>650</v>
      </c>
      <c r="I33" s="4">
        <v>360</v>
      </c>
      <c r="J33" t="s">
        <v>47</v>
      </c>
      <c r="K33" t="s">
        <v>33</v>
      </c>
      <c r="L33">
        <f t="shared" si="0"/>
        <v>650</v>
      </c>
      <c r="M33">
        <f t="shared" si="1"/>
        <v>360</v>
      </c>
      <c r="N33">
        <f t="shared" si="2"/>
        <v>290</v>
      </c>
    </row>
    <row r="34" spans="1:14">
      <c r="A34" t="s">
        <v>91</v>
      </c>
      <c r="B34" s="2">
        <v>45996</v>
      </c>
      <c r="C34" t="s">
        <v>57</v>
      </c>
      <c r="D34" t="s">
        <v>77</v>
      </c>
      <c r="E34" t="s">
        <v>14</v>
      </c>
      <c r="F34" t="s">
        <v>15</v>
      </c>
      <c r="G34" s="3">
        <v>8</v>
      </c>
      <c r="H34" s="4">
        <v>252</v>
      </c>
      <c r="I34" s="4">
        <v>140</v>
      </c>
      <c r="J34" t="s">
        <v>37</v>
      </c>
      <c r="K34" t="s">
        <v>59</v>
      </c>
      <c r="L34">
        <f t="shared" ref="L34:L65" si="3">G34*H34</f>
        <v>2016</v>
      </c>
      <c r="M34">
        <f t="shared" ref="M34:M65" si="4">G34*I34</f>
        <v>1120</v>
      </c>
      <c r="N34">
        <f t="shared" ref="N34:N65" si="5">L34-M34</f>
        <v>896</v>
      </c>
    </row>
    <row r="35" spans="1:14">
      <c r="A35" t="s">
        <v>92</v>
      </c>
      <c r="B35" s="2">
        <v>45935</v>
      </c>
      <c r="C35" t="s">
        <v>24</v>
      </c>
      <c r="D35" t="s">
        <v>50</v>
      </c>
      <c r="E35" t="s">
        <v>20</v>
      </c>
      <c r="F35" t="s">
        <v>26</v>
      </c>
      <c r="G35" s="3">
        <v>10</v>
      </c>
      <c r="H35" s="4">
        <v>855</v>
      </c>
      <c r="I35" s="4">
        <v>520</v>
      </c>
      <c r="J35" t="s">
        <v>16</v>
      </c>
      <c r="K35" t="s">
        <v>17</v>
      </c>
      <c r="L35">
        <f t="shared" si="3"/>
        <v>8550</v>
      </c>
      <c r="M35">
        <f t="shared" si="4"/>
        <v>5200</v>
      </c>
      <c r="N35">
        <f t="shared" si="5"/>
        <v>3350</v>
      </c>
    </row>
    <row r="36" spans="1:14">
      <c r="A36" t="s">
        <v>93</v>
      </c>
      <c r="B36" s="2">
        <v>45929</v>
      </c>
      <c r="C36" t="s">
        <v>57</v>
      </c>
      <c r="D36" t="s">
        <v>86</v>
      </c>
      <c r="E36" t="s">
        <v>20</v>
      </c>
      <c r="F36" t="s">
        <v>21</v>
      </c>
      <c r="G36" s="3">
        <v>3</v>
      </c>
      <c r="H36" s="4">
        <v>585</v>
      </c>
      <c r="I36" s="4">
        <v>360</v>
      </c>
      <c r="J36" t="s">
        <v>27</v>
      </c>
      <c r="K36" t="s">
        <v>43</v>
      </c>
      <c r="L36">
        <f t="shared" si="3"/>
        <v>1755</v>
      </c>
      <c r="M36">
        <f t="shared" si="4"/>
        <v>1080</v>
      </c>
      <c r="N36">
        <f t="shared" si="5"/>
        <v>675</v>
      </c>
    </row>
    <row r="37" spans="1:14">
      <c r="A37" t="s">
        <v>94</v>
      </c>
      <c r="B37" s="2">
        <v>45864</v>
      </c>
      <c r="C37" t="s">
        <v>12</v>
      </c>
      <c r="D37" t="s">
        <v>79</v>
      </c>
      <c r="E37" t="s">
        <v>20</v>
      </c>
      <c r="F37" t="s">
        <v>39</v>
      </c>
      <c r="G37" s="3">
        <v>3</v>
      </c>
      <c r="H37" s="4">
        <v>2200</v>
      </c>
      <c r="I37" s="4">
        <v>1350</v>
      </c>
      <c r="J37" t="s">
        <v>16</v>
      </c>
      <c r="K37" t="s">
        <v>22</v>
      </c>
      <c r="L37">
        <f t="shared" si="3"/>
        <v>6600</v>
      </c>
      <c r="M37">
        <f t="shared" si="4"/>
        <v>4050</v>
      </c>
      <c r="N37">
        <f t="shared" si="5"/>
        <v>2550</v>
      </c>
    </row>
    <row r="38" spans="1:14">
      <c r="A38" t="s">
        <v>95</v>
      </c>
      <c r="B38" s="2">
        <v>45947</v>
      </c>
      <c r="C38" t="s">
        <v>24</v>
      </c>
      <c r="D38" t="s">
        <v>54</v>
      </c>
      <c r="E38" t="s">
        <v>41</v>
      </c>
      <c r="F38" t="s">
        <v>70</v>
      </c>
      <c r="G38" s="3">
        <v>1</v>
      </c>
      <c r="H38" s="4">
        <v>7650</v>
      </c>
      <c r="I38" s="4">
        <v>6100</v>
      </c>
      <c r="J38" t="s">
        <v>47</v>
      </c>
      <c r="K38" t="s">
        <v>48</v>
      </c>
      <c r="L38">
        <f t="shared" si="3"/>
        <v>7650</v>
      </c>
      <c r="M38">
        <f t="shared" si="4"/>
        <v>6100</v>
      </c>
      <c r="N38">
        <f t="shared" si="5"/>
        <v>1550</v>
      </c>
    </row>
    <row r="39" spans="1:14">
      <c r="A39" t="s">
        <v>96</v>
      </c>
      <c r="B39" s="2">
        <v>46001</v>
      </c>
      <c r="C39" t="s">
        <v>24</v>
      </c>
      <c r="D39" t="s">
        <v>50</v>
      </c>
      <c r="E39" t="s">
        <v>20</v>
      </c>
      <c r="F39" t="s">
        <v>26</v>
      </c>
      <c r="G39" s="3">
        <v>2</v>
      </c>
      <c r="H39" s="4">
        <v>950</v>
      </c>
      <c r="I39" s="4">
        <v>520</v>
      </c>
      <c r="J39" t="s">
        <v>47</v>
      </c>
      <c r="K39" t="s">
        <v>33</v>
      </c>
      <c r="L39">
        <f t="shared" si="3"/>
        <v>1900</v>
      </c>
      <c r="M39">
        <f t="shared" si="4"/>
        <v>1040</v>
      </c>
      <c r="N39">
        <f t="shared" si="5"/>
        <v>860</v>
      </c>
    </row>
    <row r="40" spans="1:14">
      <c r="A40" t="s">
        <v>97</v>
      </c>
      <c r="B40" s="2">
        <v>45709</v>
      </c>
      <c r="C40" t="s">
        <v>57</v>
      </c>
      <c r="D40" t="s">
        <v>86</v>
      </c>
      <c r="E40" t="s">
        <v>20</v>
      </c>
      <c r="F40" t="s">
        <v>21</v>
      </c>
      <c r="G40" s="3">
        <v>2</v>
      </c>
      <c r="H40" s="4">
        <v>585</v>
      </c>
      <c r="I40" s="4">
        <v>360</v>
      </c>
      <c r="J40" t="s">
        <v>16</v>
      </c>
      <c r="K40" t="s">
        <v>22</v>
      </c>
      <c r="L40">
        <f t="shared" si="3"/>
        <v>1170</v>
      </c>
      <c r="M40">
        <f t="shared" si="4"/>
        <v>720</v>
      </c>
      <c r="N40">
        <f t="shared" si="5"/>
        <v>450</v>
      </c>
    </row>
    <row r="41" spans="1:14">
      <c r="A41" t="s">
        <v>98</v>
      </c>
      <c r="B41" s="2">
        <v>45783</v>
      </c>
      <c r="C41" t="s">
        <v>24</v>
      </c>
      <c r="D41" t="s">
        <v>50</v>
      </c>
      <c r="E41" t="s">
        <v>20</v>
      </c>
      <c r="F41" t="s">
        <v>67</v>
      </c>
      <c r="G41" s="3">
        <v>8</v>
      </c>
      <c r="H41" s="4">
        <v>1800</v>
      </c>
      <c r="I41" s="4">
        <v>1050</v>
      </c>
      <c r="J41" t="s">
        <v>47</v>
      </c>
      <c r="K41" t="s">
        <v>48</v>
      </c>
      <c r="L41">
        <f t="shared" si="3"/>
        <v>14400</v>
      </c>
      <c r="M41">
        <f t="shared" si="4"/>
        <v>8400</v>
      </c>
      <c r="N41">
        <f t="shared" si="5"/>
        <v>6000</v>
      </c>
    </row>
    <row r="42" spans="1:14">
      <c r="A42" t="s">
        <v>99</v>
      </c>
      <c r="B42" s="2">
        <v>45971</v>
      </c>
      <c r="C42" t="s">
        <v>24</v>
      </c>
      <c r="D42" t="s">
        <v>25</v>
      </c>
      <c r="E42" t="s">
        <v>20</v>
      </c>
      <c r="F42" t="s">
        <v>36</v>
      </c>
      <c r="G42" s="3">
        <v>3</v>
      </c>
      <c r="H42" s="4">
        <v>1600</v>
      </c>
      <c r="I42" s="4">
        <v>920</v>
      </c>
      <c r="J42" t="s">
        <v>16</v>
      </c>
      <c r="K42" t="s">
        <v>17</v>
      </c>
      <c r="L42">
        <f t="shared" si="3"/>
        <v>4800</v>
      </c>
      <c r="M42">
        <f t="shared" si="4"/>
        <v>2760</v>
      </c>
      <c r="N42">
        <f t="shared" si="5"/>
        <v>2040</v>
      </c>
    </row>
    <row r="43" spans="1:14">
      <c r="A43" t="s">
        <v>100</v>
      </c>
      <c r="B43" s="2">
        <v>45941</v>
      </c>
      <c r="C43" t="s">
        <v>57</v>
      </c>
      <c r="D43" t="s">
        <v>86</v>
      </c>
      <c r="E43" t="s">
        <v>20</v>
      </c>
      <c r="F43" t="s">
        <v>67</v>
      </c>
      <c r="G43" s="3">
        <v>2</v>
      </c>
      <c r="H43" s="4">
        <v>1800</v>
      </c>
      <c r="I43" s="4">
        <v>1050</v>
      </c>
      <c r="J43" t="s">
        <v>27</v>
      </c>
      <c r="K43" t="s">
        <v>48</v>
      </c>
      <c r="L43">
        <f t="shared" si="3"/>
        <v>3600</v>
      </c>
      <c r="M43">
        <f t="shared" si="4"/>
        <v>2100</v>
      </c>
      <c r="N43">
        <f t="shared" si="5"/>
        <v>1500</v>
      </c>
    </row>
    <row r="44" spans="1:14">
      <c r="A44" t="s">
        <v>101</v>
      </c>
      <c r="B44" s="2">
        <v>45916</v>
      </c>
      <c r="C44" t="s">
        <v>57</v>
      </c>
      <c r="D44" t="s">
        <v>58</v>
      </c>
      <c r="E44" t="s">
        <v>14</v>
      </c>
      <c r="F44" t="s">
        <v>15</v>
      </c>
      <c r="G44" s="3">
        <v>2</v>
      </c>
      <c r="H44" s="4">
        <v>280</v>
      </c>
      <c r="I44" s="4">
        <v>140</v>
      </c>
      <c r="J44" t="s">
        <v>37</v>
      </c>
      <c r="K44" t="s">
        <v>48</v>
      </c>
      <c r="L44">
        <f t="shared" si="3"/>
        <v>560</v>
      </c>
      <c r="M44">
        <f t="shared" si="4"/>
        <v>280</v>
      </c>
      <c r="N44">
        <f t="shared" si="5"/>
        <v>280</v>
      </c>
    </row>
    <row r="45" spans="1:14">
      <c r="A45" t="s">
        <v>102</v>
      </c>
      <c r="B45" s="2">
        <v>45680</v>
      </c>
      <c r="C45" t="s">
        <v>12</v>
      </c>
      <c r="D45" t="s">
        <v>13</v>
      </c>
      <c r="E45" t="s">
        <v>41</v>
      </c>
      <c r="F45" t="s">
        <v>42</v>
      </c>
      <c r="G45" s="3">
        <v>2</v>
      </c>
      <c r="H45" s="4">
        <v>1200</v>
      </c>
      <c r="I45" s="4">
        <v>650</v>
      </c>
      <c r="J45" t="s">
        <v>16</v>
      </c>
      <c r="K45" t="s">
        <v>48</v>
      </c>
      <c r="L45">
        <f t="shared" si="3"/>
        <v>2400</v>
      </c>
      <c r="M45">
        <f t="shared" si="4"/>
        <v>1300</v>
      </c>
      <c r="N45">
        <f t="shared" si="5"/>
        <v>1100</v>
      </c>
    </row>
    <row r="46" spans="1:14">
      <c r="A46" t="s">
        <v>103</v>
      </c>
      <c r="B46" s="2">
        <v>46019</v>
      </c>
      <c r="C46" t="s">
        <v>24</v>
      </c>
      <c r="D46" t="s">
        <v>50</v>
      </c>
      <c r="E46" t="s">
        <v>20</v>
      </c>
      <c r="F46" t="s">
        <v>67</v>
      </c>
      <c r="G46" s="3">
        <v>4</v>
      </c>
      <c r="H46" s="4">
        <v>1620</v>
      </c>
      <c r="I46" s="4">
        <v>1050</v>
      </c>
      <c r="J46" t="s">
        <v>37</v>
      </c>
      <c r="K46" t="s">
        <v>22</v>
      </c>
      <c r="L46">
        <f t="shared" si="3"/>
        <v>6480</v>
      </c>
      <c r="M46">
        <f t="shared" si="4"/>
        <v>4200</v>
      </c>
      <c r="N46">
        <f t="shared" si="5"/>
        <v>2280</v>
      </c>
    </row>
    <row r="47" spans="1:14">
      <c r="A47" t="s">
        <v>104</v>
      </c>
      <c r="B47" s="2">
        <v>45937</v>
      </c>
      <c r="C47" t="s">
        <v>12</v>
      </c>
      <c r="D47" t="s">
        <v>13</v>
      </c>
      <c r="E47" t="s">
        <v>20</v>
      </c>
      <c r="F47" t="s">
        <v>39</v>
      </c>
      <c r="G47" s="3">
        <v>8</v>
      </c>
      <c r="H47" s="4">
        <v>2200</v>
      </c>
      <c r="I47" s="4">
        <v>1350</v>
      </c>
      <c r="J47" t="s">
        <v>16</v>
      </c>
      <c r="K47" t="s">
        <v>48</v>
      </c>
      <c r="L47">
        <f t="shared" si="3"/>
        <v>17600</v>
      </c>
      <c r="M47">
        <f t="shared" si="4"/>
        <v>10800</v>
      </c>
      <c r="N47">
        <f t="shared" si="5"/>
        <v>6800</v>
      </c>
    </row>
    <row r="48" spans="1:14">
      <c r="A48" t="s">
        <v>105</v>
      </c>
      <c r="B48" s="2">
        <v>45678</v>
      </c>
      <c r="C48" t="s">
        <v>24</v>
      </c>
      <c r="D48" t="s">
        <v>25</v>
      </c>
      <c r="E48" t="s">
        <v>20</v>
      </c>
      <c r="F48" t="s">
        <v>67</v>
      </c>
      <c r="G48" s="3">
        <v>1</v>
      </c>
      <c r="H48" s="4">
        <v>1800</v>
      </c>
      <c r="I48" s="4">
        <v>1050</v>
      </c>
      <c r="J48" t="s">
        <v>47</v>
      </c>
      <c r="K48" t="s">
        <v>59</v>
      </c>
      <c r="L48">
        <f t="shared" si="3"/>
        <v>1800</v>
      </c>
      <c r="M48">
        <f t="shared" si="4"/>
        <v>1050</v>
      </c>
      <c r="N48">
        <f t="shared" si="5"/>
        <v>750</v>
      </c>
    </row>
    <row r="49" spans="1:14">
      <c r="A49" t="s">
        <v>106</v>
      </c>
      <c r="B49" s="2">
        <v>45975</v>
      </c>
      <c r="C49" t="s">
        <v>24</v>
      </c>
      <c r="D49" t="s">
        <v>54</v>
      </c>
      <c r="E49" t="s">
        <v>31</v>
      </c>
      <c r="F49" t="s">
        <v>107</v>
      </c>
      <c r="G49" s="3">
        <v>5</v>
      </c>
      <c r="H49" s="4">
        <v>3040</v>
      </c>
      <c r="I49" s="4">
        <v>2150</v>
      </c>
      <c r="J49" t="s">
        <v>27</v>
      </c>
      <c r="K49" t="s">
        <v>59</v>
      </c>
      <c r="L49">
        <f t="shared" si="3"/>
        <v>15200</v>
      </c>
      <c r="M49">
        <f t="shared" si="4"/>
        <v>10750</v>
      </c>
      <c r="N49">
        <f t="shared" si="5"/>
        <v>4450</v>
      </c>
    </row>
    <row r="50" spans="1:14">
      <c r="A50" t="s">
        <v>108</v>
      </c>
      <c r="B50" s="2">
        <v>45868</v>
      </c>
      <c r="C50" t="s">
        <v>24</v>
      </c>
      <c r="D50" t="s">
        <v>52</v>
      </c>
      <c r="E50" t="s">
        <v>31</v>
      </c>
      <c r="F50" t="s">
        <v>64</v>
      </c>
      <c r="G50" s="3">
        <v>1</v>
      </c>
      <c r="H50" s="4">
        <v>2400</v>
      </c>
      <c r="I50" s="4">
        <v>1450</v>
      </c>
      <c r="J50" t="s">
        <v>27</v>
      </c>
      <c r="K50" t="s">
        <v>48</v>
      </c>
      <c r="L50">
        <f t="shared" si="3"/>
        <v>2400</v>
      </c>
      <c r="M50">
        <f t="shared" si="4"/>
        <v>1450</v>
      </c>
      <c r="N50">
        <f t="shared" si="5"/>
        <v>950</v>
      </c>
    </row>
    <row r="51" spans="1:14">
      <c r="A51" t="s">
        <v>109</v>
      </c>
      <c r="B51" s="2">
        <v>45771</v>
      </c>
      <c r="C51" t="s">
        <v>24</v>
      </c>
      <c r="D51" t="s">
        <v>54</v>
      </c>
      <c r="E51" t="s">
        <v>31</v>
      </c>
      <c r="F51" t="s">
        <v>64</v>
      </c>
      <c r="G51" s="3">
        <v>6</v>
      </c>
      <c r="H51" s="4">
        <v>2280</v>
      </c>
      <c r="I51" s="4">
        <v>1450</v>
      </c>
      <c r="J51" t="s">
        <v>27</v>
      </c>
      <c r="K51" t="s">
        <v>33</v>
      </c>
      <c r="L51">
        <f t="shared" si="3"/>
        <v>13680</v>
      </c>
      <c r="M51">
        <f t="shared" si="4"/>
        <v>8700</v>
      </c>
      <c r="N51">
        <f t="shared" si="5"/>
        <v>4980</v>
      </c>
    </row>
    <row r="52" spans="1:14">
      <c r="A52" t="s">
        <v>110</v>
      </c>
      <c r="B52" s="2">
        <v>45772</v>
      </c>
      <c r="C52" t="s">
        <v>57</v>
      </c>
      <c r="D52" t="s">
        <v>111</v>
      </c>
      <c r="E52" t="s">
        <v>20</v>
      </c>
      <c r="F52" t="s">
        <v>36</v>
      </c>
      <c r="G52" s="3">
        <v>5</v>
      </c>
      <c r="H52" s="4">
        <v>1600</v>
      </c>
      <c r="I52" s="4">
        <v>920</v>
      </c>
      <c r="J52" t="s">
        <v>16</v>
      </c>
      <c r="K52" t="s">
        <v>17</v>
      </c>
      <c r="L52">
        <f t="shared" si="3"/>
        <v>8000</v>
      </c>
      <c r="M52">
        <f t="shared" si="4"/>
        <v>4600</v>
      </c>
      <c r="N52">
        <f t="shared" si="5"/>
        <v>3400</v>
      </c>
    </row>
    <row r="53" spans="1:14">
      <c r="A53" t="s">
        <v>112</v>
      </c>
      <c r="B53" s="2">
        <v>45800</v>
      </c>
      <c r="C53" t="s">
        <v>24</v>
      </c>
      <c r="D53" t="s">
        <v>25</v>
      </c>
      <c r="E53" t="s">
        <v>31</v>
      </c>
      <c r="F53" t="s">
        <v>107</v>
      </c>
      <c r="G53" s="3">
        <v>2</v>
      </c>
      <c r="H53" s="4">
        <v>3200</v>
      </c>
      <c r="I53" s="4">
        <v>2150</v>
      </c>
      <c r="J53" t="s">
        <v>47</v>
      </c>
      <c r="K53" t="s">
        <v>17</v>
      </c>
      <c r="L53">
        <f t="shared" si="3"/>
        <v>6400</v>
      </c>
      <c r="M53">
        <f t="shared" si="4"/>
        <v>4300</v>
      </c>
      <c r="N53">
        <f t="shared" si="5"/>
        <v>2100</v>
      </c>
    </row>
    <row r="54" spans="1:14">
      <c r="A54" t="s">
        <v>113</v>
      </c>
      <c r="B54" s="2">
        <v>45749</v>
      </c>
      <c r="C54" t="s">
        <v>29</v>
      </c>
      <c r="D54" t="s">
        <v>30</v>
      </c>
      <c r="E54" t="s">
        <v>20</v>
      </c>
      <c r="F54" t="s">
        <v>21</v>
      </c>
      <c r="G54" s="3">
        <v>1</v>
      </c>
      <c r="H54" s="4">
        <v>650</v>
      </c>
      <c r="I54" s="4">
        <v>360</v>
      </c>
      <c r="J54" t="s">
        <v>47</v>
      </c>
      <c r="K54" t="s">
        <v>43</v>
      </c>
      <c r="L54">
        <f t="shared" si="3"/>
        <v>650</v>
      </c>
      <c r="M54">
        <f t="shared" si="4"/>
        <v>360</v>
      </c>
      <c r="N54">
        <f t="shared" si="5"/>
        <v>290</v>
      </c>
    </row>
    <row r="55" spans="1:14">
      <c r="A55" t="s">
        <v>114</v>
      </c>
      <c r="B55" s="2">
        <v>45881</v>
      </c>
      <c r="C55" t="s">
        <v>12</v>
      </c>
      <c r="D55" t="s">
        <v>19</v>
      </c>
      <c r="E55" t="s">
        <v>31</v>
      </c>
      <c r="F55" t="s">
        <v>107</v>
      </c>
      <c r="G55" s="3">
        <v>4</v>
      </c>
      <c r="H55" s="4">
        <v>3200</v>
      </c>
      <c r="I55" s="4">
        <v>2150</v>
      </c>
      <c r="J55" t="s">
        <v>16</v>
      </c>
      <c r="K55" t="s">
        <v>33</v>
      </c>
      <c r="L55">
        <f t="shared" si="3"/>
        <v>12800</v>
      </c>
      <c r="M55">
        <f t="shared" si="4"/>
        <v>8600</v>
      </c>
      <c r="N55">
        <f t="shared" si="5"/>
        <v>4200</v>
      </c>
    </row>
    <row r="56" spans="1:14">
      <c r="A56" t="s">
        <v>115</v>
      </c>
      <c r="B56" s="2">
        <v>45924</v>
      </c>
      <c r="C56" t="s">
        <v>24</v>
      </c>
      <c r="D56" t="s">
        <v>50</v>
      </c>
      <c r="E56" t="s">
        <v>20</v>
      </c>
      <c r="F56" t="s">
        <v>21</v>
      </c>
      <c r="G56" s="3">
        <v>4</v>
      </c>
      <c r="H56" s="4">
        <v>650</v>
      </c>
      <c r="I56" s="4">
        <v>360</v>
      </c>
      <c r="J56" t="s">
        <v>27</v>
      </c>
      <c r="K56" t="s">
        <v>48</v>
      </c>
      <c r="L56">
        <f t="shared" si="3"/>
        <v>2600</v>
      </c>
      <c r="M56">
        <f t="shared" si="4"/>
        <v>1440</v>
      </c>
      <c r="N56">
        <f t="shared" si="5"/>
        <v>1160</v>
      </c>
    </row>
    <row r="57" spans="1:14">
      <c r="A57" t="s">
        <v>116</v>
      </c>
      <c r="B57" s="2">
        <v>45818</v>
      </c>
      <c r="C57" t="s">
        <v>29</v>
      </c>
      <c r="D57" t="s">
        <v>63</v>
      </c>
      <c r="E57" t="s">
        <v>41</v>
      </c>
      <c r="F57" t="s">
        <v>42</v>
      </c>
      <c r="G57" s="3">
        <v>8</v>
      </c>
      <c r="H57" s="4">
        <v>1080</v>
      </c>
      <c r="I57" s="4">
        <v>650</v>
      </c>
      <c r="J57" t="s">
        <v>16</v>
      </c>
      <c r="K57" t="s">
        <v>17</v>
      </c>
      <c r="L57">
        <f t="shared" si="3"/>
        <v>8640</v>
      </c>
      <c r="M57">
        <f t="shared" si="4"/>
        <v>5200</v>
      </c>
      <c r="N57">
        <f t="shared" si="5"/>
        <v>3440</v>
      </c>
    </row>
    <row r="58" spans="1:14">
      <c r="A58" t="s">
        <v>117</v>
      </c>
      <c r="B58" s="2">
        <v>46014</v>
      </c>
      <c r="C58" t="s">
        <v>57</v>
      </c>
      <c r="D58" t="s">
        <v>111</v>
      </c>
      <c r="E58" t="s">
        <v>41</v>
      </c>
      <c r="F58" t="s">
        <v>42</v>
      </c>
      <c r="G58" s="3">
        <v>2</v>
      </c>
      <c r="H58" s="4">
        <v>1140</v>
      </c>
      <c r="I58" s="4">
        <v>650</v>
      </c>
      <c r="J58" t="s">
        <v>47</v>
      </c>
      <c r="K58" t="s">
        <v>22</v>
      </c>
      <c r="L58">
        <f t="shared" si="3"/>
        <v>2280</v>
      </c>
      <c r="M58">
        <f t="shared" si="4"/>
        <v>1300</v>
      </c>
      <c r="N58">
        <f t="shared" si="5"/>
        <v>980</v>
      </c>
    </row>
    <row r="59" spans="1:14">
      <c r="A59" t="s">
        <v>118</v>
      </c>
      <c r="B59" s="2">
        <v>46004</v>
      </c>
      <c r="C59" t="s">
        <v>24</v>
      </c>
      <c r="D59" t="s">
        <v>52</v>
      </c>
      <c r="E59" t="s">
        <v>31</v>
      </c>
      <c r="F59" t="s">
        <v>64</v>
      </c>
      <c r="G59" s="3">
        <v>4</v>
      </c>
      <c r="H59" s="4">
        <v>2280</v>
      </c>
      <c r="I59" s="4">
        <v>1450</v>
      </c>
      <c r="J59" t="s">
        <v>27</v>
      </c>
      <c r="K59" t="s">
        <v>22</v>
      </c>
      <c r="L59">
        <f t="shared" si="3"/>
        <v>9120</v>
      </c>
      <c r="M59">
        <f t="shared" si="4"/>
        <v>5800</v>
      </c>
      <c r="N59">
        <f t="shared" si="5"/>
        <v>3320</v>
      </c>
    </row>
    <row r="60" spans="1:14">
      <c r="A60" t="s">
        <v>119</v>
      </c>
      <c r="B60" s="2">
        <v>45804</v>
      </c>
      <c r="C60" t="s">
        <v>57</v>
      </c>
      <c r="E60" t="s">
        <v>45</v>
      </c>
      <c r="F60" t="s">
        <v>75</v>
      </c>
      <c r="G60" s="3">
        <v>5</v>
      </c>
      <c r="H60" s="4">
        <v>5600</v>
      </c>
      <c r="I60" s="4">
        <v>4100</v>
      </c>
      <c r="J60" t="s">
        <v>27</v>
      </c>
      <c r="K60" t="s">
        <v>33</v>
      </c>
      <c r="L60">
        <f t="shared" si="3"/>
        <v>28000</v>
      </c>
      <c r="M60">
        <f t="shared" si="4"/>
        <v>20500</v>
      </c>
      <c r="N60">
        <f t="shared" si="5"/>
        <v>7500</v>
      </c>
    </row>
    <row r="61" spans="1:14">
      <c r="A61" t="s">
        <v>120</v>
      </c>
      <c r="B61" s="2">
        <v>45919</v>
      </c>
      <c r="C61" t="s">
        <v>57</v>
      </c>
      <c r="D61" t="s">
        <v>77</v>
      </c>
      <c r="E61" t="s">
        <v>45</v>
      </c>
      <c r="F61" t="s">
        <v>46</v>
      </c>
      <c r="G61" s="3">
        <v>2</v>
      </c>
      <c r="H61" s="4">
        <v>7200</v>
      </c>
      <c r="I61" s="4">
        <v>5450</v>
      </c>
      <c r="J61" t="s">
        <v>37</v>
      </c>
      <c r="K61" t="s">
        <v>17</v>
      </c>
      <c r="L61">
        <f t="shared" si="3"/>
        <v>14400</v>
      </c>
      <c r="M61">
        <f t="shared" si="4"/>
        <v>10900</v>
      </c>
      <c r="N61">
        <f t="shared" si="5"/>
        <v>3500</v>
      </c>
    </row>
    <row r="62" spans="1:14">
      <c r="A62" t="s">
        <v>121</v>
      </c>
      <c r="B62" s="2">
        <v>45829</v>
      </c>
      <c r="C62" t="s">
        <v>24</v>
      </c>
      <c r="D62" t="s">
        <v>54</v>
      </c>
      <c r="E62" t="s">
        <v>31</v>
      </c>
      <c r="F62" t="s">
        <v>32</v>
      </c>
      <c r="G62" s="3">
        <v>3</v>
      </c>
      <c r="H62" s="4">
        <v>13050</v>
      </c>
      <c r="I62" s="4">
        <v>11200</v>
      </c>
      <c r="J62" t="s">
        <v>16</v>
      </c>
      <c r="K62" t="s">
        <v>59</v>
      </c>
      <c r="L62">
        <f t="shared" si="3"/>
        <v>39150</v>
      </c>
      <c r="M62">
        <f t="shared" si="4"/>
        <v>33600</v>
      </c>
      <c r="N62">
        <f t="shared" si="5"/>
        <v>5550</v>
      </c>
    </row>
    <row r="63" spans="1:14">
      <c r="A63" t="s">
        <v>122</v>
      </c>
      <c r="B63" s="2">
        <v>45681</v>
      </c>
      <c r="C63" t="s">
        <v>57</v>
      </c>
      <c r="D63" t="s">
        <v>58</v>
      </c>
      <c r="E63" t="s">
        <v>14</v>
      </c>
      <c r="F63" t="s">
        <v>55</v>
      </c>
      <c r="G63" s="3">
        <v>1</v>
      </c>
      <c r="H63" s="4">
        <v>1900</v>
      </c>
      <c r="I63" s="4">
        <v>1150</v>
      </c>
      <c r="J63" t="s">
        <v>27</v>
      </c>
      <c r="K63" t="s">
        <v>33</v>
      </c>
      <c r="L63">
        <f t="shared" si="3"/>
        <v>1900</v>
      </c>
      <c r="M63">
        <f t="shared" si="4"/>
        <v>1150</v>
      </c>
      <c r="N63">
        <f t="shared" si="5"/>
        <v>750</v>
      </c>
    </row>
    <row r="64" spans="1:14">
      <c r="A64" t="s">
        <v>123</v>
      </c>
      <c r="B64" s="2">
        <v>45757</v>
      </c>
      <c r="C64" t="s">
        <v>12</v>
      </c>
      <c r="D64" t="s">
        <v>19</v>
      </c>
      <c r="E64" t="s">
        <v>31</v>
      </c>
      <c r="F64" t="s">
        <v>64</v>
      </c>
      <c r="G64" s="3">
        <v>6</v>
      </c>
      <c r="H64" s="4">
        <v>2160</v>
      </c>
      <c r="I64" s="4">
        <v>1450</v>
      </c>
      <c r="J64" t="s">
        <v>37</v>
      </c>
      <c r="K64" t="s">
        <v>33</v>
      </c>
      <c r="L64">
        <f t="shared" si="3"/>
        <v>12960</v>
      </c>
      <c r="M64">
        <f t="shared" si="4"/>
        <v>8700</v>
      </c>
      <c r="N64">
        <f t="shared" si="5"/>
        <v>4260</v>
      </c>
    </row>
    <row r="65" spans="1:14">
      <c r="A65" t="s">
        <v>124</v>
      </c>
      <c r="B65" s="2">
        <v>45712</v>
      </c>
      <c r="C65" t="s">
        <v>29</v>
      </c>
      <c r="D65" t="s">
        <v>74</v>
      </c>
      <c r="E65" t="s">
        <v>20</v>
      </c>
      <c r="F65" t="s">
        <v>67</v>
      </c>
      <c r="G65" s="3">
        <v>4</v>
      </c>
      <c r="H65" s="4">
        <v>1800</v>
      </c>
      <c r="I65" s="4">
        <v>1050</v>
      </c>
      <c r="J65" t="s">
        <v>37</v>
      </c>
      <c r="K65" t="s">
        <v>59</v>
      </c>
      <c r="L65">
        <f t="shared" si="3"/>
        <v>7200</v>
      </c>
      <c r="M65">
        <f t="shared" si="4"/>
        <v>4200</v>
      </c>
      <c r="N65">
        <f t="shared" si="5"/>
        <v>3000</v>
      </c>
    </row>
    <row r="66" spans="1:14">
      <c r="A66" t="s">
        <v>125</v>
      </c>
      <c r="B66" s="2">
        <v>45891</v>
      </c>
      <c r="C66" t="s">
        <v>24</v>
      </c>
      <c r="D66" t="s">
        <v>25</v>
      </c>
      <c r="E66" t="s">
        <v>20</v>
      </c>
      <c r="F66" t="s">
        <v>21</v>
      </c>
      <c r="G66" s="3">
        <v>3</v>
      </c>
      <c r="H66" s="4">
        <v>650</v>
      </c>
      <c r="I66" s="4">
        <v>360</v>
      </c>
      <c r="J66" t="s">
        <v>27</v>
      </c>
      <c r="K66" t="s">
        <v>33</v>
      </c>
      <c r="L66">
        <f t="shared" ref="L66:L97" si="6">G66*H66</f>
        <v>1950</v>
      </c>
      <c r="M66">
        <f t="shared" ref="M66:M97" si="7">G66*I66</f>
        <v>1080</v>
      </c>
      <c r="N66">
        <f t="shared" ref="N66:N97" si="8">L66-M66</f>
        <v>870</v>
      </c>
    </row>
    <row r="67" spans="1:14">
      <c r="A67" t="s">
        <v>126</v>
      </c>
      <c r="B67" s="2">
        <v>45876</v>
      </c>
      <c r="C67" t="s">
        <v>57</v>
      </c>
      <c r="D67" t="s">
        <v>77</v>
      </c>
      <c r="E67" t="s">
        <v>41</v>
      </c>
      <c r="F67" t="s">
        <v>70</v>
      </c>
      <c r="G67" s="3">
        <v>5</v>
      </c>
      <c r="H67" s="4">
        <v>7650</v>
      </c>
      <c r="I67" s="4">
        <v>6100</v>
      </c>
      <c r="J67" t="s">
        <v>37</v>
      </c>
      <c r="K67" t="s">
        <v>59</v>
      </c>
      <c r="L67">
        <f t="shared" si="6"/>
        <v>38250</v>
      </c>
      <c r="M67">
        <f t="shared" si="7"/>
        <v>30500</v>
      </c>
      <c r="N67">
        <f t="shared" si="8"/>
        <v>7750</v>
      </c>
    </row>
    <row r="68" spans="1:14">
      <c r="A68" t="s">
        <v>127</v>
      </c>
      <c r="B68" s="2">
        <v>45924</v>
      </c>
      <c r="C68" t="s">
        <v>29</v>
      </c>
      <c r="D68" t="s">
        <v>83</v>
      </c>
      <c r="E68" t="s">
        <v>31</v>
      </c>
      <c r="F68" t="s">
        <v>32</v>
      </c>
      <c r="G68" s="3">
        <v>4</v>
      </c>
      <c r="H68" s="4">
        <v>14500</v>
      </c>
      <c r="I68" s="4">
        <v>11200</v>
      </c>
      <c r="J68" t="s">
        <v>37</v>
      </c>
      <c r="K68" t="s">
        <v>17</v>
      </c>
      <c r="L68">
        <f t="shared" si="6"/>
        <v>58000</v>
      </c>
      <c r="M68">
        <f t="shared" si="7"/>
        <v>44800</v>
      </c>
      <c r="N68">
        <f t="shared" si="8"/>
        <v>13200</v>
      </c>
    </row>
    <row r="69" spans="1:14">
      <c r="A69" t="s">
        <v>128</v>
      </c>
      <c r="B69" s="2">
        <v>45778</v>
      </c>
      <c r="C69" t="s">
        <v>24</v>
      </c>
      <c r="D69" t="s">
        <v>50</v>
      </c>
      <c r="E69" t="s">
        <v>45</v>
      </c>
      <c r="F69" t="s">
        <v>46</v>
      </c>
      <c r="G69" s="3">
        <v>1</v>
      </c>
      <c r="H69" s="4">
        <v>7200</v>
      </c>
      <c r="I69" s="4">
        <v>5450</v>
      </c>
      <c r="J69" t="s">
        <v>47</v>
      </c>
      <c r="K69" t="s">
        <v>48</v>
      </c>
      <c r="L69">
        <f t="shared" si="6"/>
        <v>7200</v>
      </c>
      <c r="M69">
        <f t="shared" si="7"/>
        <v>5450</v>
      </c>
      <c r="N69">
        <f t="shared" si="8"/>
        <v>1750</v>
      </c>
    </row>
    <row r="70" spans="1:14">
      <c r="A70" t="s">
        <v>129</v>
      </c>
      <c r="B70" s="2">
        <v>46013</v>
      </c>
      <c r="C70" t="s">
        <v>57</v>
      </c>
      <c r="D70" t="s">
        <v>86</v>
      </c>
      <c r="E70" t="s">
        <v>20</v>
      </c>
      <c r="F70" t="s">
        <v>67</v>
      </c>
      <c r="G70" s="3">
        <v>1</v>
      </c>
      <c r="H70" s="4">
        <v>1710</v>
      </c>
      <c r="I70" s="4">
        <v>1050</v>
      </c>
      <c r="J70" t="s">
        <v>27</v>
      </c>
      <c r="K70" t="s">
        <v>17</v>
      </c>
      <c r="L70">
        <f t="shared" si="6"/>
        <v>1710</v>
      </c>
      <c r="M70">
        <f t="shared" si="7"/>
        <v>1050</v>
      </c>
      <c r="N70">
        <f t="shared" si="8"/>
        <v>660</v>
      </c>
    </row>
    <row r="71" spans="1:14">
      <c r="A71" t="s">
        <v>130</v>
      </c>
      <c r="B71" s="2">
        <v>45896</v>
      </c>
      <c r="C71" t="s">
        <v>24</v>
      </c>
      <c r="D71" t="s">
        <v>54</v>
      </c>
      <c r="E71" t="s">
        <v>31</v>
      </c>
      <c r="F71" t="s">
        <v>64</v>
      </c>
      <c r="G71" s="3">
        <v>2</v>
      </c>
      <c r="H71" s="4">
        <v>2160</v>
      </c>
      <c r="I71" s="4">
        <v>1450</v>
      </c>
      <c r="J71" t="s">
        <v>37</v>
      </c>
      <c r="K71" t="s">
        <v>43</v>
      </c>
      <c r="L71">
        <f t="shared" si="6"/>
        <v>4320</v>
      </c>
      <c r="M71">
        <f t="shared" si="7"/>
        <v>2900</v>
      </c>
      <c r="N71">
        <f t="shared" si="8"/>
        <v>1420</v>
      </c>
    </row>
    <row r="72" spans="1:14">
      <c r="A72" t="s">
        <v>131</v>
      </c>
      <c r="B72" s="2">
        <v>46014</v>
      </c>
      <c r="C72" t="s">
        <v>24</v>
      </c>
      <c r="D72" t="s">
        <v>25</v>
      </c>
      <c r="E72" t="s">
        <v>31</v>
      </c>
      <c r="F72" t="s">
        <v>64</v>
      </c>
      <c r="G72" s="3">
        <v>6</v>
      </c>
      <c r="H72" s="4">
        <v>2160</v>
      </c>
      <c r="I72" s="4">
        <v>1450</v>
      </c>
      <c r="J72" t="s">
        <v>16</v>
      </c>
      <c r="K72" t="s">
        <v>22</v>
      </c>
      <c r="L72">
        <f t="shared" si="6"/>
        <v>12960</v>
      </c>
      <c r="M72">
        <f t="shared" si="7"/>
        <v>8700</v>
      </c>
      <c r="N72">
        <f t="shared" si="8"/>
        <v>4260</v>
      </c>
    </row>
    <row r="73" spans="1:14">
      <c r="A73" t="s">
        <v>132</v>
      </c>
      <c r="B73" s="2">
        <v>45857</v>
      </c>
      <c r="C73" t="s">
        <v>29</v>
      </c>
      <c r="D73" t="s">
        <v>83</v>
      </c>
      <c r="E73" t="s">
        <v>20</v>
      </c>
      <c r="F73" t="s">
        <v>21</v>
      </c>
      <c r="G73" s="3">
        <v>8</v>
      </c>
      <c r="H73" s="4">
        <v>650</v>
      </c>
      <c r="I73" s="4">
        <v>360</v>
      </c>
      <c r="J73" t="s">
        <v>37</v>
      </c>
      <c r="K73" t="s">
        <v>22</v>
      </c>
      <c r="L73">
        <f t="shared" si="6"/>
        <v>5200</v>
      </c>
      <c r="M73">
        <f t="shared" si="7"/>
        <v>2880</v>
      </c>
      <c r="N73">
        <f t="shared" si="8"/>
        <v>2320</v>
      </c>
    </row>
    <row r="74" spans="1:14">
      <c r="A74" t="s">
        <v>133</v>
      </c>
      <c r="B74" s="2">
        <v>45672</v>
      </c>
      <c r="C74" t="s">
        <v>24</v>
      </c>
      <c r="D74" t="s">
        <v>25</v>
      </c>
      <c r="E74" t="s">
        <v>20</v>
      </c>
      <c r="F74" t="s">
        <v>26</v>
      </c>
      <c r="G74" s="3">
        <v>2</v>
      </c>
      <c r="H74" s="4">
        <v>902.5</v>
      </c>
      <c r="I74" s="4">
        <v>520</v>
      </c>
      <c r="J74" t="s">
        <v>37</v>
      </c>
      <c r="K74" t="s">
        <v>48</v>
      </c>
      <c r="L74">
        <f t="shared" si="6"/>
        <v>1805</v>
      </c>
      <c r="M74">
        <f t="shared" si="7"/>
        <v>1040</v>
      </c>
      <c r="N74">
        <f t="shared" si="8"/>
        <v>765</v>
      </c>
    </row>
    <row r="75" spans="1:14">
      <c r="A75" t="s">
        <v>134</v>
      </c>
      <c r="B75" s="2">
        <v>45976</v>
      </c>
      <c r="C75" t="s">
        <v>29</v>
      </c>
      <c r="D75" t="s">
        <v>74</v>
      </c>
      <c r="E75" t="s">
        <v>20</v>
      </c>
      <c r="F75" t="s">
        <v>36</v>
      </c>
      <c r="G75" s="3">
        <v>3</v>
      </c>
      <c r="H75" s="4">
        <v>1600</v>
      </c>
      <c r="I75" s="4">
        <v>920</v>
      </c>
      <c r="J75" t="s">
        <v>16</v>
      </c>
      <c r="K75" t="s">
        <v>33</v>
      </c>
      <c r="L75">
        <f t="shared" si="6"/>
        <v>4800</v>
      </c>
      <c r="M75">
        <f t="shared" si="7"/>
        <v>2760</v>
      </c>
      <c r="N75">
        <f t="shared" si="8"/>
        <v>2040</v>
      </c>
    </row>
    <row r="76" spans="1:14">
      <c r="A76" t="s">
        <v>135</v>
      </c>
      <c r="B76" s="2">
        <v>45751</v>
      </c>
      <c r="C76" t="s">
        <v>136</v>
      </c>
      <c r="D76" t="s">
        <v>13</v>
      </c>
      <c r="E76" t="s">
        <v>41</v>
      </c>
      <c r="F76" t="s">
        <v>42</v>
      </c>
      <c r="G76" s="3">
        <v>2</v>
      </c>
      <c r="H76" s="4">
        <v>1140</v>
      </c>
      <c r="I76" s="4">
        <v>650</v>
      </c>
      <c r="J76" t="s">
        <v>16</v>
      </c>
      <c r="K76" t="s">
        <v>48</v>
      </c>
      <c r="L76">
        <f t="shared" si="6"/>
        <v>2280</v>
      </c>
      <c r="M76">
        <f t="shared" si="7"/>
        <v>1300</v>
      </c>
      <c r="N76">
        <f t="shared" si="8"/>
        <v>980</v>
      </c>
    </row>
    <row r="77" spans="1:14">
      <c r="A77" t="s">
        <v>137</v>
      </c>
      <c r="B77" s="2">
        <v>45852</v>
      </c>
      <c r="C77" t="s">
        <v>29</v>
      </c>
      <c r="D77" t="s">
        <v>30</v>
      </c>
      <c r="E77" t="s">
        <v>20</v>
      </c>
      <c r="F77" t="s">
        <v>26</v>
      </c>
      <c r="G77" s="3">
        <v>2</v>
      </c>
      <c r="H77" s="4">
        <v>950</v>
      </c>
      <c r="I77" s="4">
        <v>520</v>
      </c>
      <c r="J77" t="s">
        <v>47</v>
      </c>
      <c r="K77" t="s">
        <v>33</v>
      </c>
      <c r="L77">
        <f t="shared" si="6"/>
        <v>1900</v>
      </c>
      <c r="M77">
        <f t="shared" si="7"/>
        <v>1040</v>
      </c>
      <c r="N77">
        <f t="shared" si="8"/>
        <v>860</v>
      </c>
    </row>
    <row r="78" spans="1:14">
      <c r="A78" t="s">
        <v>138</v>
      </c>
      <c r="B78" s="2">
        <v>45684</v>
      </c>
      <c r="C78" t="s">
        <v>57</v>
      </c>
      <c r="D78" t="s">
        <v>86</v>
      </c>
      <c r="E78" t="s">
        <v>45</v>
      </c>
      <c r="F78" t="s">
        <v>46</v>
      </c>
      <c r="G78" s="3">
        <v>1</v>
      </c>
      <c r="H78" s="4">
        <v>6480</v>
      </c>
      <c r="I78" s="4">
        <v>5450</v>
      </c>
      <c r="J78" t="s">
        <v>47</v>
      </c>
      <c r="K78" t="s">
        <v>59</v>
      </c>
      <c r="L78">
        <f t="shared" si="6"/>
        <v>6480</v>
      </c>
      <c r="M78">
        <f t="shared" si="7"/>
        <v>5450</v>
      </c>
      <c r="N78">
        <f t="shared" si="8"/>
        <v>1030</v>
      </c>
    </row>
    <row r="79" spans="1:14">
      <c r="A79" t="s">
        <v>139</v>
      </c>
      <c r="B79" s="2">
        <v>45760</v>
      </c>
      <c r="C79" t="s">
        <v>12</v>
      </c>
      <c r="D79" t="s">
        <v>13</v>
      </c>
      <c r="E79" t="s">
        <v>14</v>
      </c>
      <c r="F79" t="s">
        <v>55</v>
      </c>
      <c r="G79" s="3">
        <v>1</v>
      </c>
      <c r="H79" s="4">
        <v>1900</v>
      </c>
      <c r="I79" s="4">
        <v>1150</v>
      </c>
      <c r="J79" t="s">
        <v>16</v>
      </c>
      <c r="K79" t="s">
        <v>22</v>
      </c>
      <c r="L79">
        <f t="shared" si="6"/>
        <v>1900</v>
      </c>
      <c r="M79">
        <f t="shared" si="7"/>
        <v>1150</v>
      </c>
      <c r="N79">
        <f t="shared" si="8"/>
        <v>750</v>
      </c>
    </row>
    <row r="80" spans="1:14">
      <c r="A80" t="s">
        <v>140</v>
      </c>
      <c r="B80" s="2">
        <v>45946</v>
      </c>
      <c r="C80" t="s">
        <v>24</v>
      </c>
      <c r="D80" t="s">
        <v>52</v>
      </c>
      <c r="E80" t="s">
        <v>20</v>
      </c>
      <c r="F80" t="s">
        <v>67</v>
      </c>
      <c r="G80" s="3">
        <v>3</v>
      </c>
      <c r="H80" s="4">
        <v>1800</v>
      </c>
      <c r="I80" s="4">
        <v>1050</v>
      </c>
      <c r="J80" t="s">
        <v>27</v>
      </c>
      <c r="K80" t="s">
        <v>33</v>
      </c>
      <c r="L80">
        <f t="shared" si="6"/>
        <v>5400</v>
      </c>
      <c r="M80">
        <f t="shared" si="7"/>
        <v>3150</v>
      </c>
      <c r="N80">
        <f t="shared" si="8"/>
        <v>2250</v>
      </c>
    </row>
    <row r="81" spans="1:14">
      <c r="A81" t="s">
        <v>141</v>
      </c>
      <c r="B81" s="2">
        <v>45741</v>
      </c>
      <c r="C81" t="s">
        <v>57</v>
      </c>
      <c r="D81" t="s">
        <v>111</v>
      </c>
      <c r="E81" t="s">
        <v>20</v>
      </c>
      <c r="F81" t="s">
        <v>67</v>
      </c>
      <c r="G81" s="3">
        <v>3</v>
      </c>
      <c r="H81" s="4">
        <v>1800</v>
      </c>
      <c r="I81" s="4">
        <v>1050</v>
      </c>
      <c r="J81" t="s">
        <v>47</v>
      </c>
      <c r="K81" t="s">
        <v>43</v>
      </c>
      <c r="L81">
        <f t="shared" si="6"/>
        <v>5400</v>
      </c>
      <c r="M81">
        <f t="shared" si="7"/>
        <v>3150</v>
      </c>
      <c r="N81">
        <f t="shared" si="8"/>
        <v>2250</v>
      </c>
    </row>
    <row r="82" spans="1:14">
      <c r="A82" t="s">
        <v>142</v>
      </c>
      <c r="B82" s="2">
        <v>45861</v>
      </c>
      <c r="C82" t="s">
        <v>12</v>
      </c>
      <c r="D82" t="s">
        <v>35</v>
      </c>
      <c r="E82" t="s">
        <v>41</v>
      </c>
      <c r="F82" t="s">
        <v>70</v>
      </c>
      <c r="G82" s="3">
        <v>4</v>
      </c>
      <c r="H82" s="4">
        <v>8075</v>
      </c>
      <c r="I82" s="4">
        <v>6100</v>
      </c>
      <c r="J82" t="s">
        <v>27</v>
      </c>
      <c r="K82" t="s">
        <v>43</v>
      </c>
      <c r="L82">
        <f t="shared" si="6"/>
        <v>32300</v>
      </c>
      <c r="M82">
        <f t="shared" si="7"/>
        <v>24400</v>
      </c>
      <c r="N82">
        <f t="shared" si="8"/>
        <v>7900</v>
      </c>
    </row>
    <row r="83" spans="1:14">
      <c r="A83" t="s">
        <v>143</v>
      </c>
      <c r="B83" s="2">
        <v>45719</v>
      </c>
      <c r="C83" t="s">
        <v>24</v>
      </c>
      <c r="D83" t="s">
        <v>54</v>
      </c>
      <c r="E83" t="s">
        <v>14</v>
      </c>
      <c r="F83" t="s">
        <v>15</v>
      </c>
      <c r="G83" s="3">
        <v>5</v>
      </c>
      <c r="H83" s="4">
        <v>252</v>
      </c>
      <c r="I83" s="4">
        <v>140</v>
      </c>
      <c r="J83" t="s">
        <v>16</v>
      </c>
      <c r="K83" t="s">
        <v>48</v>
      </c>
      <c r="L83">
        <f t="shared" si="6"/>
        <v>1260</v>
      </c>
      <c r="M83">
        <f t="shared" si="7"/>
        <v>700</v>
      </c>
      <c r="N83">
        <f t="shared" si="8"/>
        <v>560</v>
      </c>
    </row>
    <row r="84" spans="1:14">
      <c r="A84" t="s">
        <v>144</v>
      </c>
      <c r="B84" s="2">
        <v>45664</v>
      </c>
      <c r="C84" t="s">
        <v>29</v>
      </c>
      <c r="D84" t="s">
        <v>30</v>
      </c>
      <c r="E84" t="s">
        <v>20</v>
      </c>
      <c r="F84" t="s">
        <v>39</v>
      </c>
      <c r="G84" s="3">
        <v>3</v>
      </c>
      <c r="H84" s="4">
        <v>2200</v>
      </c>
      <c r="I84" s="4">
        <v>1350</v>
      </c>
      <c r="J84" t="s">
        <v>37</v>
      </c>
      <c r="K84" t="s">
        <v>33</v>
      </c>
      <c r="L84">
        <f t="shared" si="6"/>
        <v>6600</v>
      </c>
      <c r="M84">
        <f t="shared" si="7"/>
        <v>4050</v>
      </c>
      <c r="N84">
        <f t="shared" si="8"/>
        <v>2550</v>
      </c>
    </row>
    <row r="85" spans="1:14">
      <c r="A85" t="s">
        <v>145</v>
      </c>
      <c r="B85" s="2">
        <v>46020</v>
      </c>
      <c r="C85" t="s">
        <v>12</v>
      </c>
      <c r="D85" t="s">
        <v>19</v>
      </c>
      <c r="E85" t="s">
        <v>31</v>
      </c>
      <c r="F85" t="s">
        <v>107</v>
      </c>
      <c r="G85" s="3">
        <v>3</v>
      </c>
      <c r="H85" s="4">
        <v>3040</v>
      </c>
      <c r="I85" s="4">
        <v>2150</v>
      </c>
      <c r="J85" t="s">
        <v>27</v>
      </c>
      <c r="K85" t="s">
        <v>33</v>
      </c>
      <c r="L85">
        <f t="shared" si="6"/>
        <v>9120</v>
      </c>
      <c r="M85">
        <f t="shared" si="7"/>
        <v>6450</v>
      </c>
      <c r="N85">
        <f t="shared" si="8"/>
        <v>2670</v>
      </c>
    </row>
    <row r="86" spans="1:14">
      <c r="A86" t="s">
        <v>146</v>
      </c>
      <c r="B86" s="2">
        <v>45905</v>
      </c>
      <c r="C86" t="s">
        <v>24</v>
      </c>
      <c r="D86" t="s">
        <v>50</v>
      </c>
      <c r="E86" t="s">
        <v>41</v>
      </c>
      <c r="F86" t="s">
        <v>70</v>
      </c>
      <c r="G86" s="3">
        <v>5</v>
      </c>
      <c r="H86" s="4">
        <v>7650</v>
      </c>
      <c r="I86" s="4">
        <v>6100</v>
      </c>
      <c r="J86" t="s">
        <v>37</v>
      </c>
      <c r="K86" t="s">
        <v>33</v>
      </c>
      <c r="L86">
        <f t="shared" si="6"/>
        <v>38250</v>
      </c>
      <c r="M86">
        <f t="shared" si="7"/>
        <v>30500</v>
      </c>
      <c r="N86">
        <f t="shared" si="8"/>
        <v>7750</v>
      </c>
    </row>
    <row r="87" spans="1:14">
      <c r="A87" t="s">
        <v>147</v>
      </c>
      <c r="B87" s="2">
        <v>45800</v>
      </c>
      <c r="C87" t="s">
        <v>57</v>
      </c>
      <c r="D87" t="s">
        <v>111</v>
      </c>
      <c r="E87" t="s">
        <v>20</v>
      </c>
      <c r="F87" t="s">
        <v>36</v>
      </c>
      <c r="G87" s="3">
        <v>2</v>
      </c>
      <c r="H87" s="4">
        <v>1600</v>
      </c>
      <c r="I87" s="4">
        <v>920</v>
      </c>
      <c r="J87" t="s">
        <v>37</v>
      </c>
      <c r="K87" t="s">
        <v>59</v>
      </c>
      <c r="L87">
        <f t="shared" si="6"/>
        <v>3200</v>
      </c>
      <c r="M87">
        <f t="shared" si="7"/>
        <v>1840</v>
      </c>
      <c r="N87">
        <f t="shared" si="8"/>
        <v>1360</v>
      </c>
    </row>
    <row r="88" spans="1:14">
      <c r="A88" t="s">
        <v>148</v>
      </c>
      <c r="B88" s="2">
        <v>45751</v>
      </c>
      <c r="C88" t="s">
        <v>29</v>
      </c>
      <c r="D88" t="s">
        <v>83</v>
      </c>
      <c r="E88" t="s">
        <v>31</v>
      </c>
      <c r="F88" t="s">
        <v>107</v>
      </c>
      <c r="G88" s="3">
        <v>1</v>
      </c>
      <c r="H88" s="4">
        <v>3200</v>
      </c>
      <c r="I88" s="4">
        <v>2150</v>
      </c>
      <c r="J88" t="s">
        <v>37</v>
      </c>
      <c r="K88" t="s">
        <v>59</v>
      </c>
      <c r="L88">
        <f t="shared" si="6"/>
        <v>3200</v>
      </c>
      <c r="M88">
        <f t="shared" si="7"/>
        <v>2150</v>
      </c>
      <c r="N88">
        <f t="shared" si="8"/>
        <v>1050</v>
      </c>
    </row>
    <row r="89" spans="1:14">
      <c r="A89" t="s">
        <v>149</v>
      </c>
      <c r="B89" s="2">
        <v>46017</v>
      </c>
      <c r="C89" t="s">
        <v>57</v>
      </c>
      <c r="D89" t="s">
        <v>111</v>
      </c>
      <c r="E89" t="s">
        <v>31</v>
      </c>
      <c r="F89" t="s">
        <v>107</v>
      </c>
      <c r="G89" s="3">
        <v>2</v>
      </c>
      <c r="H89" s="4">
        <v>2880</v>
      </c>
      <c r="I89" s="4">
        <v>2150</v>
      </c>
      <c r="J89" t="s">
        <v>47</v>
      </c>
      <c r="K89" t="s">
        <v>22</v>
      </c>
      <c r="L89">
        <f t="shared" si="6"/>
        <v>5760</v>
      </c>
      <c r="M89">
        <f t="shared" si="7"/>
        <v>4300</v>
      </c>
      <c r="N89">
        <f t="shared" si="8"/>
        <v>1460</v>
      </c>
    </row>
    <row r="90" spans="1:14">
      <c r="A90" t="s">
        <v>150</v>
      </c>
      <c r="B90" s="2">
        <v>45908</v>
      </c>
      <c r="C90" t="s">
        <v>12</v>
      </c>
      <c r="D90" t="s">
        <v>79</v>
      </c>
      <c r="E90" t="s">
        <v>20</v>
      </c>
      <c r="F90" t="s">
        <v>39</v>
      </c>
      <c r="G90" s="3">
        <v>2</v>
      </c>
      <c r="H90" s="4">
        <v>2090</v>
      </c>
      <c r="I90" s="4">
        <v>1350</v>
      </c>
      <c r="J90" t="s">
        <v>27</v>
      </c>
      <c r="K90" t="s">
        <v>17</v>
      </c>
      <c r="L90">
        <f t="shared" si="6"/>
        <v>4180</v>
      </c>
      <c r="M90">
        <f t="shared" si="7"/>
        <v>2700</v>
      </c>
      <c r="N90">
        <f t="shared" si="8"/>
        <v>1480</v>
      </c>
    </row>
    <row r="91" spans="1:14">
      <c r="A91" t="s">
        <v>151</v>
      </c>
      <c r="B91" s="2">
        <v>45808</v>
      </c>
      <c r="C91" t="s">
        <v>29</v>
      </c>
      <c r="D91" t="s">
        <v>83</v>
      </c>
      <c r="E91" t="s">
        <v>45</v>
      </c>
      <c r="F91" t="s">
        <v>46</v>
      </c>
      <c r="G91" s="3">
        <v>5</v>
      </c>
      <c r="H91" s="4">
        <v>7200</v>
      </c>
      <c r="I91" s="4">
        <v>5450</v>
      </c>
      <c r="J91" t="s">
        <v>27</v>
      </c>
      <c r="K91" t="s">
        <v>33</v>
      </c>
      <c r="L91">
        <f t="shared" si="6"/>
        <v>36000</v>
      </c>
      <c r="M91">
        <f t="shared" si="7"/>
        <v>27250</v>
      </c>
      <c r="N91">
        <f t="shared" si="8"/>
        <v>8750</v>
      </c>
    </row>
    <row r="92" spans="1:14">
      <c r="A92" t="s">
        <v>152</v>
      </c>
      <c r="B92" s="2">
        <v>45941</v>
      </c>
      <c r="C92" t="s">
        <v>24</v>
      </c>
      <c r="D92" t="s">
        <v>50</v>
      </c>
      <c r="E92" t="s">
        <v>41</v>
      </c>
      <c r="F92" t="s">
        <v>42</v>
      </c>
      <c r="G92" s="3">
        <v>3</v>
      </c>
      <c r="H92" s="4">
        <v>1140</v>
      </c>
      <c r="I92" s="4">
        <v>650</v>
      </c>
      <c r="J92" t="s">
        <v>47</v>
      </c>
      <c r="K92" t="s">
        <v>33</v>
      </c>
      <c r="L92">
        <f t="shared" si="6"/>
        <v>3420</v>
      </c>
      <c r="M92">
        <f t="shared" si="7"/>
        <v>1950</v>
      </c>
      <c r="N92">
        <f t="shared" si="8"/>
        <v>1470</v>
      </c>
    </row>
    <row r="93" spans="1:14">
      <c r="A93" t="s">
        <v>153</v>
      </c>
      <c r="B93" s="2">
        <v>45786</v>
      </c>
      <c r="C93" t="s">
        <v>57</v>
      </c>
      <c r="D93" t="s">
        <v>111</v>
      </c>
      <c r="E93" t="s">
        <v>14</v>
      </c>
      <c r="F93" t="s">
        <v>15</v>
      </c>
      <c r="G93" s="3">
        <v>2</v>
      </c>
      <c r="H93" s="4">
        <v>280</v>
      </c>
      <c r="I93" s="4">
        <v>140</v>
      </c>
      <c r="J93" t="s">
        <v>27</v>
      </c>
      <c r="K93" t="s">
        <v>43</v>
      </c>
      <c r="L93">
        <f t="shared" si="6"/>
        <v>560</v>
      </c>
      <c r="M93">
        <f t="shared" si="7"/>
        <v>280</v>
      </c>
      <c r="N93">
        <f t="shared" si="8"/>
        <v>280</v>
      </c>
    </row>
    <row r="94" spans="1:14">
      <c r="A94" t="s">
        <v>154</v>
      </c>
      <c r="B94" s="2">
        <v>45756</v>
      </c>
      <c r="C94" t="s">
        <v>24</v>
      </c>
      <c r="D94" t="s">
        <v>50</v>
      </c>
      <c r="E94" t="s">
        <v>20</v>
      </c>
      <c r="F94" t="s">
        <v>39</v>
      </c>
      <c r="G94" s="3">
        <v>4</v>
      </c>
      <c r="H94" s="4">
        <v>2200</v>
      </c>
      <c r="I94" s="4">
        <v>1350</v>
      </c>
      <c r="J94" t="s">
        <v>27</v>
      </c>
      <c r="K94" t="s">
        <v>17</v>
      </c>
      <c r="L94">
        <f t="shared" si="6"/>
        <v>8800</v>
      </c>
      <c r="M94">
        <f t="shared" si="7"/>
        <v>5400</v>
      </c>
      <c r="N94">
        <f t="shared" si="8"/>
        <v>3400</v>
      </c>
    </row>
    <row r="95" spans="1:14">
      <c r="A95" t="s">
        <v>155</v>
      </c>
      <c r="B95" s="2">
        <v>45963</v>
      </c>
      <c r="C95" t="s">
        <v>29</v>
      </c>
      <c r="D95" t="s">
        <v>30</v>
      </c>
      <c r="E95" t="s">
        <v>14</v>
      </c>
      <c r="F95" t="s">
        <v>15</v>
      </c>
      <c r="G95" s="3">
        <v>3</v>
      </c>
      <c r="H95" s="4">
        <v>252</v>
      </c>
      <c r="I95" s="4">
        <v>140</v>
      </c>
      <c r="J95" t="s">
        <v>47</v>
      </c>
      <c r="K95" t="s">
        <v>43</v>
      </c>
      <c r="L95">
        <f t="shared" si="6"/>
        <v>756</v>
      </c>
      <c r="M95">
        <f t="shared" si="7"/>
        <v>420</v>
      </c>
      <c r="N95">
        <f t="shared" si="8"/>
        <v>336</v>
      </c>
    </row>
    <row r="96" spans="1:14">
      <c r="A96" t="s">
        <v>156</v>
      </c>
      <c r="B96" s="2">
        <v>45665</v>
      </c>
      <c r="C96" t="s">
        <v>24</v>
      </c>
      <c r="D96" t="s">
        <v>50</v>
      </c>
      <c r="E96" t="s">
        <v>20</v>
      </c>
      <c r="F96" t="s">
        <v>26</v>
      </c>
      <c r="G96" s="3">
        <v>2</v>
      </c>
      <c r="H96" s="4">
        <v>950</v>
      </c>
      <c r="I96" s="4">
        <v>520</v>
      </c>
      <c r="J96" t="s">
        <v>27</v>
      </c>
      <c r="K96" t="s">
        <v>48</v>
      </c>
      <c r="L96">
        <f t="shared" si="6"/>
        <v>1900</v>
      </c>
      <c r="M96">
        <f t="shared" si="7"/>
        <v>1040</v>
      </c>
      <c r="N96">
        <f t="shared" si="8"/>
        <v>860</v>
      </c>
    </row>
    <row r="97" spans="1:14">
      <c r="A97" t="s">
        <v>157</v>
      </c>
      <c r="B97" s="2">
        <v>45984</v>
      </c>
      <c r="C97" t="s">
        <v>12</v>
      </c>
      <c r="D97" t="s">
        <v>13</v>
      </c>
      <c r="E97" t="s">
        <v>45</v>
      </c>
      <c r="F97" t="s">
        <v>75</v>
      </c>
      <c r="G97" s="3">
        <v>2</v>
      </c>
      <c r="H97" s="4">
        <v>5600</v>
      </c>
      <c r="I97" s="4">
        <v>4100</v>
      </c>
      <c r="J97" t="s">
        <v>37</v>
      </c>
      <c r="K97" t="s">
        <v>43</v>
      </c>
      <c r="L97">
        <f t="shared" si="6"/>
        <v>11200</v>
      </c>
      <c r="M97">
        <f t="shared" si="7"/>
        <v>8200</v>
      </c>
      <c r="N97">
        <f t="shared" si="8"/>
        <v>3000</v>
      </c>
    </row>
    <row r="98" spans="1:14">
      <c r="A98" t="s">
        <v>158</v>
      </c>
      <c r="B98" s="2">
        <v>45752</v>
      </c>
      <c r="C98" t="s">
        <v>12</v>
      </c>
      <c r="D98" t="s">
        <v>35</v>
      </c>
      <c r="E98" t="s">
        <v>45</v>
      </c>
      <c r="F98" t="s">
        <v>46</v>
      </c>
      <c r="G98" s="3">
        <v>3</v>
      </c>
      <c r="H98" s="4">
        <v>7200</v>
      </c>
      <c r="I98" s="4">
        <v>5450</v>
      </c>
      <c r="J98" t="s">
        <v>16</v>
      </c>
      <c r="K98" t="s">
        <v>48</v>
      </c>
      <c r="L98">
        <f t="shared" ref="L98:L129" si="9">G98*H98</f>
        <v>21600</v>
      </c>
      <c r="M98">
        <f t="shared" ref="M98:M129" si="10">G98*I98</f>
        <v>16350</v>
      </c>
      <c r="N98">
        <f t="shared" ref="N98:N129" si="11">L98-M98</f>
        <v>5250</v>
      </c>
    </row>
    <row r="99" spans="1:14">
      <c r="A99" t="s">
        <v>159</v>
      </c>
      <c r="B99" s="2">
        <v>45695</v>
      </c>
      <c r="C99" t="s">
        <v>29</v>
      </c>
      <c r="D99" t="s">
        <v>63</v>
      </c>
      <c r="E99" t="s">
        <v>20</v>
      </c>
      <c r="F99" t="s">
        <v>36</v>
      </c>
      <c r="G99" s="3">
        <v>1</v>
      </c>
      <c r="H99" s="4">
        <v>1520</v>
      </c>
      <c r="I99" s="4">
        <v>920</v>
      </c>
      <c r="J99" t="s">
        <v>16</v>
      </c>
      <c r="K99" t="s">
        <v>59</v>
      </c>
      <c r="L99">
        <f t="shared" si="9"/>
        <v>1520</v>
      </c>
      <c r="M99">
        <f t="shared" si="10"/>
        <v>920</v>
      </c>
      <c r="N99">
        <f t="shared" si="11"/>
        <v>600</v>
      </c>
    </row>
    <row r="100" spans="1:14">
      <c r="A100" t="s">
        <v>160</v>
      </c>
      <c r="B100" s="2">
        <v>45943</v>
      </c>
      <c r="C100" t="s">
        <v>24</v>
      </c>
      <c r="D100" t="s">
        <v>50</v>
      </c>
      <c r="E100" t="s">
        <v>20</v>
      </c>
      <c r="F100" t="s">
        <v>39</v>
      </c>
      <c r="G100" s="3">
        <v>10</v>
      </c>
      <c r="H100" s="4">
        <v>2200</v>
      </c>
      <c r="I100" s="4">
        <v>1350</v>
      </c>
      <c r="J100" t="s">
        <v>37</v>
      </c>
      <c r="K100" t="s">
        <v>22</v>
      </c>
      <c r="L100">
        <f t="shared" si="9"/>
        <v>22000</v>
      </c>
      <c r="M100">
        <f t="shared" si="10"/>
        <v>13500</v>
      </c>
      <c r="N100">
        <f t="shared" si="11"/>
        <v>8500</v>
      </c>
    </row>
    <row r="101" spans="1:14">
      <c r="A101" t="s">
        <v>161</v>
      </c>
      <c r="B101" s="2">
        <v>45959</v>
      </c>
      <c r="C101" t="s">
        <v>24</v>
      </c>
      <c r="D101" t="s">
        <v>25</v>
      </c>
      <c r="E101" t="s">
        <v>45</v>
      </c>
      <c r="F101" t="s">
        <v>162</v>
      </c>
      <c r="G101" s="3">
        <v>6</v>
      </c>
      <c r="H101" s="4">
        <v>7200</v>
      </c>
      <c r="I101" s="4">
        <v>5450</v>
      </c>
      <c r="J101" t="s">
        <v>37</v>
      </c>
      <c r="K101" t="s">
        <v>48</v>
      </c>
      <c r="L101">
        <f t="shared" si="9"/>
        <v>43200</v>
      </c>
      <c r="M101">
        <f t="shared" si="10"/>
        <v>32700</v>
      </c>
      <c r="N101">
        <f t="shared" si="11"/>
        <v>10500</v>
      </c>
    </row>
    <row r="102" spans="1:14">
      <c r="A102" t="s">
        <v>163</v>
      </c>
      <c r="B102" s="2">
        <v>45793</v>
      </c>
      <c r="C102" t="s">
        <v>12</v>
      </c>
      <c r="D102" t="s">
        <v>13</v>
      </c>
      <c r="E102" t="s">
        <v>14</v>
      </c>
      <c r="F102" t="s">
        <v>55</v>
      </c>
      <c r="G102" s="3">
        <v>1</v>
      </c>
      <c r="H102" s="4">
        <v>1900</v>
      </c>
      <c r="I102" s="4">
        <v>1150</v>
      </c>
      <c r="J102" t="s">
        <v>16</v>
      </c>
      <c r="K102" t="s">
        <v>59</v>
      </c>
      <c r="L102">
        <f t="shared" si="9"/>
        <v>1900</v>
      </c>
      <c r="M102">
        <f t="shared" si="10"/>
        <v>1150</v>
      </c>
      <c r="N102">
        <f t="shared" si="11"/>
        <v>750</v>
      </c>
    </row>
    <row r="103" spans="1:14">
      <c r="A103" t="s">
        <v>164</v>
      </c>
      <c r="B103" s="2">
        <v>45867</v>
      </c>
      <c r="C103" t="s">
        <v>24</v>
      </c>
      <c r="D103" t="s">
        <v>52</v>
      </c>
      <c r="E103" t="s">
        <v>45</v>
      </c>
      <c r="F103" t="s">
        <v>75</v>
      </c>
      <c r="G103" s="3">
        <v>1</v>
      </c>
      <c r="H103" s="4">
        <v>5600</v>
      </c>
      <c r="I103" s="4">
        <v>4100</v>
      </c>
      <c r="J103" t="s">
        <v>37</v>
      </c>
      <c r="K103" t="s">
        <v>17</v>
      </c>
      <c r="L103">
        <f t="shared" si="9"/>
        <v>5600</v>
      </c>
      <c r="M103">
        <f t="shared" si="10"/>
        <v>4100</v>
      </c>
      <c r="N103">
        <f t="shared" si="11"/>
        <v>1500</v>
      </c>
    </row>
    <row r="104" spans="1:14">
      <c r="A104" t="s">
        <v>165</v>
      </c>
      <c r="B104" s="2">
        <v>46017</v>
      </c>
      <c r="C104" t="s">
        <v>29</v>
      </c>
      <c r="D104" t="s">
        <v>30</v>
      </c>
      <c r="E104" t="s">
        <v>20</v>
      </c>
      <c r="F104" t="s">
        <v>21</v>
      </c>
      <c r="G104" s="3">
        <v>1</v>
      </c>
      <c r="H104" s="4">
        <v>650</v>
      </c>
      <c r="I104" s="4">
        <v>360</v>
      </c>
      <c r="J104" t="s">
        <v>37</v>
      </c>
      <c r="K104" t="s">
        <v>43</v>
      </c>
      <c r="L104">
        <f t="shared" si="9"/>
        <v>650</v>
      </c>
      <c r="M104">
        <f t="shared" si="10"/>
        <v>360</v>
      </c>
      <c r="N104">
        <f t="shared" si="11"/>
        <v>290</v>
      </c>
    </row>
    <row r="105" spans="1:14">
      <c r="A105" t="s">
        <v>166</v>
      </c>
      <c r="B105" s="2">
        <v>45996</v>
      </c>
      <c r="C105" t="s">
        <v>24</v>
      </c>
      <c r="D105" t="s">
        <v>50</v>
      </c>
      <c r="E105" t="s">
        <v>14</v>
      </c>
      <c r="F105" t="s">
        <v>55</v>
      </c>
      <c r="G105" s="3">
        <v>5</v>
      </c>
      <c r="H105" s="4">
        <v>1710</v>
      </c>
      <c r="I105" s="4">
        <v>1150</v>
      </c>
      <c r="J105" t="s">
        <v>27</v>
      </c>
      <c r="K105" t="s">
        <v>33</v>
      </c>
      <c r="L105">
        <f t="shared" si="9"/>
        <v>8550</v>
      </c>
      <c r="M105">
        <f t="shared" si="10"/>
        <v>5750</v>
      </c>
      <c r="N105">
        <f t="shared" si="11"/>
        <v>2800</v>
      </c>
    </row>
    <row r="106" spans="1:14">
      <c r="A106" t="s">
        <v>167</v>
      </c>
      <c r="B106" s="2">
        <v>45730</v>
      </c>
      <c r="C106" t="s">
        <v>12</v>
      </c>
      <c r="D106" t="s">
        <v>79</v>
      </c>
      <c r="E106" t="s">
        <v>41</v>
      </c>
      <c r="F106" t="s">
        <v>42</v>
      </c>
      <c r="G106" s="3">
        <v>1</v>
      </c>
      <c r="H106" s="4">
        <v>1200</v>
      </c>
      <c r="I106" s="4">
        <v>650</v>
      </c>
      <c r="J106" t="s">
        <v>16</v>
      </c>
      <c r="K106" t="s">
        <v>43</v>
      </c>
      <c r="L106">
        <f t="shared" si="9"/>
        <v>1200</v>
      </c>
      <c r="M106">
        <f t="shared" si="10"/>
        <v>650</v>
      </c>
      <c r="N106">
        <f t="shared" si="11"/>
        <v>550</v>
      </c>
    </row>
    <row r="107" spans="1:14">
      <c r="A107" t="s">
        <v>168</v>
      </c>
      <c r="B107" s="2">
        <v>45805</v>
      </c>
      <c r="C107" t="s">
        <v>24</v>
      </c>
      <c r="D107" t="s">
        <v>50</v>
      </c>
      <c r="E107" t="s">
        <v>41</v>
      </c>
      <c r="F107" t="s">
        <v>70</v>
      </c>
      <c r="G107" s="3">
        <v>4</v>
      </c>
      <c r="H107" s="4">
        <v>7650</v>
      </c>
      <c r="I107" s="4">
        <v>6100</v>
      </c>
      <c r="J107" t="s">
        <v>37</v>
      </c>
      <c r="K107" t="s">
        <v>43</v>
      </c>
      <c r="L107">
        <f t="shared" si="9"/>
        <v>30600</v>
      </c>
      <c r="M107">
        <f t="shared" si="10"/>
        <v>24400</v>
      </c>
      <c r="N107">
        <f t="shared" si="11"/>
        <v>6200</v>
      </c>
    </row>
    <row r="108" spans="1:14">
      <c r="A108" t="s">
        <v>169</v>
      </c>
      <c r="B108" s="2">
        <v>45914</v>
      </c>
      <c r="C108" t="s">
        <v>29</v>
      </c>
      <c r="D108" t="s">
        <v>30</v>
      </c>
      <c r="E108" t="s">
        <v>14</v>
      </c>
      <c r="F108" t="s">
        <v>15</v>
      </c>
      <c r="G108" s="3">
        <v>2</v>
      </c>
      <c r="H108" s="4">
        <v>280</v>
      </c>
      <c r="I108" s="4">
        <v>140</v>
      </c>
      <c r="J108" t="s">
        <v>37</v>
      </c>
      <c r="K108" t="s">
        <v>33</v>
      </c>
      <c r="L108">
        <f t="shared" si="9"/>
        <v>560</v>
      </c>
      <c r="M108">
        <f t="shared" si="10"/>
        <v>280</v>
      </c>
      <c r="N108">
        <f t="shared" si="11"/>
        <v>280</v>
      </c>
    </row>
    <row r="109" spans="1:14">
      <c r="A109" t="s">
        <v>170</v>
      </c>
      <c r="B109" s="2">
        <v>45786</v>
      </c>
      <c r="C109" t="s">
        <v>12</v>
      </c>
      <c r="D109" t="s">
        <v>13</v>
      </c>
      <c r="E109" t="s">
        <v>31</v>
      </c>
      <c r="F109" t="s">
        <v>64</v>
      </c>
      <c r="G109" s="3">
        <v>4</v>
      </c>
      <c r="H109" s="4">
        <v>2160</v>
      </c>
      <c r="I109" s="4">
        <v>1450</v>
      </c>
      <c r="J109" t="s">
        <v>16</v>
      </c>
      <c r="K109" t="s">
        <v>43</v>
      </c>
      <c r="L109">
        <f t="shared" si="9"/>
        <v>8640</v>
      </c>
      <c r="M109">
        <f t="shared" si="10"/>
        <v>5800</v>
      </c>
      <c r="N109">
        <f t="shared" si="11"/>
        <v>2840</v>
      </c>
    </row>
    <row r="110" spans="1:14">
      <c r="A110" t="s">
        <v>171</v>
      </c>
      <c r="B110" s="2">
        <v>45953</v>
      </c>
      <c r="C110" t="s">
        <v>24</v>
      </c>
      <c r="D110" t="s">
        <v>54</v>
      </c>
      <c r="E110" t="s">
        <v>14</v>
      </c>
      <c r="F110" t="s">
        <v>55</v>
      </c>
      <c r="G110" s="3">
        <v>4</v>
      </c>
      <c r="H110" s="4">
        <v>1900</v>
      </c>
      <c r="I110" s="4">
        <v>1150</v>
      </c>
      <c r="J110" t="s">
        <v>16</v>
      </c>
      <c r="K110" t="s">
        <v>59</v>
      </c>
      <c r="L110">
        <f t="shared" si="9"/>
        <v>7600</v>
      </c>
      <c r="M110">
        <f t="shared" si="10"/>
        <v>4600</v>
      </c>
      <c r="N110">
        <f t="shared" si="11"/>
        <v>3000</v>
      </c>
    </row>
    <row r="111" spans="1:14">
      <c r="A111" t="s">
        <v>172</v>
      </c>
      <c r="B111" s="2">
        <v>45881</v>
      </c>
      <c r="C111" t="s">
        <v>29</v>
      </c>
      <c r="D111" t="s">
        <v>83</v>
      </c>
      <c r="E111" t="s">
        <v>31</v>
      </c>
      <c r="F111" t="s">
        <v>32</v>
      </c>
      <c r="G111" s="3">
        <v>1</v>
      </c>
      <c r="H111" s="4">
        <v>13050</v>
      </c>
      <c r="I111" s="4">
        <v>11200</v>
      </c>
      <c r="J111" t="s">
        <v>37</v>
      </c>
      <c r="K111" t="s">
        <v>43</v>
      </c>
      <c r="L111">
        <f t="shared" si="9"/>
        <v>13050</v>
      </c>
      <c r="M111">
        <f t="shared" si="10"/>
        <v>11200</v>
      </c>
      <c r="N111">
        <f t="shared" si="11"/>
        <v>1850</v>
      </c>
    </row>
    <row r="112" spans="1:14">
      <c r="A112" t="s">
        <v>173</v>
      </c>
      <c r="B112" s="2">
        <v>45740</v>
      </c>
      <c r="C112" t="s">
        <v>29</v>
      </c>
      <c r="D112" t="s">
        <v>30</v>
      </c>
      <c r="E112" t="s">
        <v>31</v>
      </c>
      <c r="F112" t="s">
        <v>64</v>
      </c>
      <c r="G112" s="3">
        <v>2</v>
      </c>
      <c r="H112" s="4">
        <v>2400</v>
      </c>
      <c r="I112" s="4">
        <v>1450</v>
      </c>
      <c r="J112" t="s">
        <v>47</v>
      </c>
      <c r="K112" t="s">
        <v>33</v>
      </c>
      <c r="L112">
        <f t="shared" si="9"/>
        <v>4800</v>
      </c>
      <c r="M112">
        <f t="shared" si="10"/>
        <v>2900</v>
      </c>
      <c r="N112">
        <f t="shared" si="11"/>
        <v>1900</v>
      </c>
    </row>
    <row r="113" spans="1:14">
      <c r="A113" t="s">
        <v>174</v>
      </c>
      <c r="B113" s="2">
        <v>45676</v>
      </c>
      <c r="C113" t="s">
        <v>29</v>
      </c>
      <c r="D113" t="s">
        <v>30</v>
      </c>
      <c r="E113" t="s">
        <v>41</v>
      </c>
      <c r="F113" t="s">
        <v>42</v>
      </c>
      <c r="G113" s="3">
        <v>8</v>
      </c>
      <c r="H113" s="4">
        <v>1080</v>
      </c>
      <c r="I113" s="4">
        <v>650</v>
      </c>
      <c r="J113" t="s">
        <v>37</v>
      </c>
      <c r="K113" t="s">
        <v>43</v>
      </c>
      <c r="L113">
        <f t="shared" si="9"/>
        <v>8640</v>
      </c>
      <c r="M113">
        <f t="shared" si="10"/>
        <v>5200</v>
      </c>
      <c r="N113">
        <f t="shared" si="11"/>
        <v>3440</v>
      </c>
    </row>
    <row r="114" spans="1:14">
      <c r="A114" t="s">
        <v>175</v>
      </c>
      <c r="B114" s="2">
        <v>45921</v>
      </c>
      <c r="C114" t="s">
        <v>57</v>
      </c>
      <c r="D114" t="s">
        <v>111</v>
      </c>
      <c r="E114" t="s">
        <v>31</v>
      </c>
      <c r="F114" t="s">
        <v>107</v>
      </c>
      <c r="G114" s="3">
        <v>1</v>
      </c>
      <c r="H114" s="4">
        <v>3040</v>
      </c>
      <c r="I114" s="4">
        <v>2150</v>
      </c>
      <c r="J114" t="s">
        <v>16</v>
      </c>
      <c r="K114" t="s">
        <v>17</v>
      </c>
      <c r="L114">
        <f t="shared" si="9"/>
        <v>3040</v>
      </c>
      <c r="M114">
        <f t="shared" si="10"/>
        <v>2150</v>
      </c>
      <c r="N114">
        <f t="shared" si="11"/>
        <v>890</v>
      </c>
    </row>
    <row r="115" spans="1:14">
      <c r="A115" t="s">
        <v>176</v>
      </c>
      <c r="B115" s="2">
        <v>45976</v>
      </c>
      <c r="C115" t="s">
        <v>29</v>
      </c>
      <c r="D115" t="s">
        <v>83</v>
      </c>
      <c r="E115" t="s">
        <v>20</v>
      </c>
      <c r="F115" t="s">
        <v>21</v>
      </c>
      <c r="G115" s="3">
        <v>1</v>
      </c>
      <c r="H115" s="4">
        <v>650</v>
      </c>
      <c r="I115" s="4">
        <v>360</v>
      </c>
      <c r="J115" t="s">
        <v>37</v>
      </c>
      <c r="K115" t="s">
        <v>17</v>
      </c>
      <c r="L115">
        <f t="shared" si="9"/>
        <v>650</v>
      </c>
      <c r="M115">
        <f t="shared" si="10"/>
        <v>360</v>
      </c>
      <c r="N115">
        <f t="shared" si="11"/>
        <v>290</v>
      </c>
    </row>
    <row r="116" spans="1:14">
      <c r="A116" t="s">
        <v>177</v>
      </c>
      <c r="B116" s="2">
        <v>45805</v>
      </c>
      <c r="C116" t="s">
        <v>29</v>
      </c>
      <c r="D116" t="s">
        <v>63</v>
      </c>
      <c r="E116" t="s">
        <v>20</v>
      </c>
      <c r="F116" t="s">
        <v>26</v>
      </c>
      <c r="G116" s="3">
        <v>2</v>
      </c>
      <c r="H116" s="4">
        <v>950</v>
      </c>
      <c r="I116" s="4">
        <v>520</v>
      </c>
      <c r="J116" t="s">
        <v>37</v>
      </c>
      <c r="K116" t="s">
        <v>17</v>
      </c>
      <c r="L116">
        <f t="shared" si="9"/>
        <v>1900</v>
      </c>
      <c r="M116">
        <f t="shared" si="10"/>
        <v>1040</v>
      </c>
      <c r="N116">
        <f t="shared" si="11"/>
        <v>860</v>
      </c>
    </row>
    <row r="117" spans="1:14">
      <c r="A117" t="s">
        <v>178</v>
      </c>
      <c r="B117" s="2">
        <v>45780</v>
      </c>
      <c r="C117" t="s">
        <v>29</v>
      </c>
      <c r="D117" t="s">
        <v>63</v>
      </c>
      <c r="E117" t="s">
        <v>20</v>
      </c>
      <c r="F117" t="s">
        <v>21</v>
      </c>
      <c r="G117" s="3">
        <v>10</v>
      </c>
      <c r="H117" s="4">
        <v>585</v>
      </c>
      <c r="I117" s="4">
        <v>360</v>
      </c>
      <c r="J117" t="s">
        <v>27</v>
      </c>
      <c r="K117" t="s">
        <v>48</v>
      </c>
      <c r="L117">
        <f t="shared" si="9"/>
        <v>5850</v>
      </c>
      <c r="M117">
        <f t="shared" si="10"/>
        <v>3600</v>
      </c>
      <c r="N117">
        <f t="shared" si="11"/>
        <v>2250</v>
      </c>
    </row>
    <row r="118" spans="1:14">
      <c r="A118" t="s">
        <v>179</v>
      </c>
      <c r="B118" s="2">
        <v>45894</v>
      </c>
      <c r="C118" t="s">
        <v>12</v>
      </c>
      <c r="D118" t="s">
        <v>19</v>
      </c>
      <c r="E118" t="s">
        <v>20</v>
      </c>
      <c r="F118" t="s">
        <v>39</v>
      </c>
      <c r="G118" s="3">
        <v>1</v>
      </c>
      <c r="H118" s="4">
        <v>2200</v>
      </c>
      <c r="I118" s="4">
        <v>1350</v>
      </c>
      <c r="J118" t="s">
        <v>16</v>
      </c>
      <c r="K118" t="s">
        <v>17</v>
      </c>
      <c r="L118">
        <f t="shared" si="9"/>
        <v>2200</v>
      </c>
      <c r="M118">
        <f t="shared" si="10"/>
        <v>1350</v>
      </c>
      <c r="N118">
        <f t="shared" si="11"/>
        <v>850</v>
      </c>
    </row>
    <row r="119" spans="1:14">
      <c r="A119" t="s">
        <v>180</v>
      </c>
      <c r="B119" s="2">
        <v>45870</v>
      </c>
      <c r="C119" t="s">
        <v>24</v>
      </c>
      <c r="D119" t="s">
        <v>25</v>
      </c>
      <c r="E119" t="s">
        <v>14</v>
      </c>
      <c r="F119" t="s">
        <v>15</v>
      </c>
      <c r="G119" s="3">
        <v>2</v>
      </c>
      <c r="H119" s="4">
        <v>280</v>
      </c>
      <c r="I119" s="4">
        <v>140</v>
      </c>
      <c r="J119" t="s">
        <v>37</v>
      </c>
      <c r="K119" t="s">
        <v>33</v>
      </c>
      <c r="L119">
        <f t="shared" si="9"/>
        <v>560</v>
      </c>
      <c r="M119">
        <f t="shared" si="10"/>
        <v>280</v>
      </c>
      <c r="N119">
        <f t="shared" si="11"/>
        <v>280</v>
      </c>
    </row>
    <row r="120" spans="1:14">
      <c r="A120" t="s">
        <v>181</v>
      </c>
      <c r="B120" s="2">
        <v>45964</v>
      </c>
      <c r="C120" t="s">
        <v>24</v>
      </c>
      <c r="D120" t="s">
        <v>25</v>
      </c>
      <c r="E120" t="s">
        <v>45</v>
      </c>
      <c r="F120" t="s">
        <v>75</v>
      </c>
      <c r="G120" s="3">
        <v>1</v>
      </c>
      <c r="H120" s="4">
        <v>5600</v>
      </c>
      <c r="I120" s="4">
        <v>4100</v>
      </c>
      <c r="J120" t="s">
        <v>27</v>
      </c>
      <c r="K120" t="s">
        <v>43</v>
      </c>
      <c r="L120">
        <f t="shared" si="9"/>
        <v>5600</v>
      </c>
      <c r="M120">
        <f t="shared" si="10"/>
        <v>4100</v>
      </c>
      <c r="N120">
        <f t="shared" si="11"/>
        <v>1500</v>
      </c>
    </row>
    <row r="121" spans="1:14">
      <c r="A121" t="s">
        <v>182</v>
      </c>
      <c r="B121" s="2">
        <v>45794</v>
      </c>
      <c r="C121" t="s">
        <v>57</v>
      </c>
      <c r="D121" t="s">
        <v>77</v>
      </c>
      <c r="E121" t="s">
        <v>31</v>
      </c>
      <c r="F121" t="s">
        <v>107</v>
      </c>
      <c r="G121" s="3">
        <v>8</v>
      </c>
      <c r="H121" s="4">
        <v>2880</v>
      </c>
      <c r="I121" s="4">
        <v>2150</v>
      </c>
      <c r="J121" t="s">
        <v>16</v>
      </c>
      <c r="K121" t="s">
        <v>48</v>
      </c>
      <c r="L121">
        <f t="shared" si="9"/>
        <v>23040</v>
      </c>
      <c r="M121">
        <f t="shared" si="10"/>
        <v>17200</v>
      </c>
      <c r="N121">
        <f t="shared" si="11"/>
        <v>5840</v>
      </c>
    </row>
    <row r="122" spans="1:14">
      <c r="A122" t="s">
        <v>183</v>
      </c>
      <c r="B122" s="2">
        <v>45905</v>
      </c>
      <c r="C122" t="s">
        <v>57</v>
      </c>
      <c r="D122" t="s">
        <v>77</v>
      </c>
      <c r="E122" t="s">
        <v>20</v>
      </c>
      <c r="F122" t="s">
        <v>36</v>
      </c>
      <c r="G122" s="3">
        <v>1</v>
      </c>
      <c r="H122" s="4">
        <v>1440</v>
      </c>
      <c r="I122" s="4">
        <v>920</v>
      </c>
      <c r="J122" t="s">
        <v>47</v>
      </c>
      <c r="K122" t="s">
        <v>48</v>
      </c>
      <c r="L122">
        <f t="shared" si="9"/>
        <v>1440</v>
      </c>
      <c r="M122">
        <f t="shared" si="10"/>
        <v>920</v>
      </c>
      <c r="N122">
        <f t="shared" si="11"/>
        <v>520</v>
      </c>
    </row>
    <row r="123" spans="1:14">
      <c r="A123" t="s">
        <v>184</v>
      </c>
      <c r="B123" s="2">
        <v>45950</v>
      </c>
      <c r="C123" t="s">
        <v>29</v>
      </c>
      <c r="D123" t="s">
        <v>83</v>
      </c>
      <c r="E123" t="s">
        <v>31</v>
      </c>
      <c r="F123" t="s">
        <v>107</v>
      </c>
      <c r="G123" s="3">
        <v>6</v>
      </c>
      <c r="H123" s="4">
        <v>3200</v>
      </c>
      <c r="I123" s="4">
        <v>2150</v>
      </c>
      <c r="J123" t="s">
        <v>37</v>
      </c>
      <c r="K123" t="s">
        <v>59</v>
      </c>
      <c r="L123">
        <f t="shared" si="9"/>
        <v>19200</v>
      </c>
      <c r="M123">
        <f t="shared" si="10"/>
        <v>12900</v>
      </c>
      <c r="N123">
        <f t="shared" si="11"/>
        <v>6300</v>
      </c>
    </row>
    <row r="124" spans="1:14">
      <c r="A124" t="s">
        <v>185</v>
      </c>
      <c r="B124" s="2">
        <v>45855</v>
      </c>
      <c r="C124" t="s">
        <v>29</v>
      </c>
      <c r="D124" t="s">
        <v>63</v>
      </c>
      <c r="E124" t="s">
        <v>31</v>
      </c>
      <c r="F124" t="s">
        <v>107</v>
      </c>
      <c r="G124" s="3">
        <v>4</v>
      </c>
      <c r="H124" s="4">
        <v>3040</v>
      </c>
      <c r="I124" s="4">
        <v>2150</v>
      </c>
      <c r="J124" t="s">
        <v>27</v>
      </c>
      <c r="K124" t="s">
        <v>33</v>
      </c>
      <c r="L124">
        <f t="shared" si="9"/>
        <v>12160</v>
      </c>
      <c r="M124">
        <f t="shared" si="10"/>
        <v>8600</v>
      </c>
      <c r="N124">
        <f t="shared" si="11"/>
        <v>3560</v>
      </c>
    </row>
    <row r="125" spans="1:14">
      <c r="A125" t="s">
        <v>186</v>
      </c>
      <c r="B125" s="2">
        <v>45709</v>
      </c>
      <c r="C125" t="s">
        <v>12</v>
      </c>
      <c r="D125" t="s">
        <v>79</v>
      </c>
      <c r="E125" t="s">
        <v>45</v>
      </c>
      <c r="F125" t="s">
        <v>75</v>
      </c>
      <c r="G125" s="3">
        <v>10</v>
      </c>
      <c r="H125" s="4">
        <v>5600</v>
      </c>
      <c r="I125" s="4">
        <v>4100</v>
      </c>
      <c r="J125" t="s">
        <v>37</v>
      </c>
      <c r="K125" t="s">
        <v>43</v>
      </c>
      <c r="L125">
        <f t="shared" si="9"/>
        <v>56000</v>
      </c>
      <c r="M125">
        <f t="shared" si="10"/>
        <v>41000</v>
      </c>
      <c r="N125">
        <f t="shared" si="11"/>
        <v>15000</v>
      </c>
    </row>
    <row r="126" spans="1:14">
      <c r="A126" t="s">
        <v>187</v>
      </c>
      <c r="B126" s="2">
        <v>45696</v>
      </c>
      <c r="C126" t="s">
        <v>29</v>
      </c>
      <c r="D126" t="s">
        <v>63</v>
      </c>
      <c r="E126" t="s">
        <v>14</v>
      </c>
      <c r="F126" t="s">
        <v>15</v>
      </c>
      <c r="G126" s="3">
        <v>1</v>
      </c>
      <c r="H126" s="4">
        <v>280</v>
      </c>
      <c r="I126" s="4">
        <v>140</v>
      </c>
      <c r="J126" t="s">
        <v>37</v>
      </c>
      <c r="K126" t="s">
        <v>48</v>
      </c>
      <c r="L126">
        <f t="shared" si="9"/>
        <v>280</v>
      </c>
      <c r="M126">
        <f t="shared" si="10"/>
        <v>140</v>
      </c>
      <c r="N126">
        <f t="shared" si="11"/>
        <v>140</v>
      </c>
    </row>
    <row r="127" spans="1:14">
      <c r="A127" t="s">
        <v>188</v>
      </c>
      <c r="B127" s="2">
        <v>46003</v>
      </c>
      <c r="C127" t="s">
        <v>57</v>
      </c>
      <c r="D127" t="s">
        <v>77</v>
      </c>
      <c r="E127" t="s">
        <v>41</v>
      </c>
      <c r="F127" t="s">
        <v>42</v>
      </c>
      <c r="G127" s="3">
        <v>1</v>
      </c>
      <c r="H127" s="4">
        <v>1200</v>
      </c>
      <c r="I127" s="4">
        <v>650</v>
      </c>
      <c r="J127" t="s">
        <v>37</v>
      </c>
      <c r="K127" t="s">
        <v>48</v>
      </c>
      <c r="L127">
        <f t="shared" si="9"/>
        <v>1200</v>
      </c>
      <c r="M127">
        <f t="shared" si="10"/>
        <v>650</v>
      </c>
      <c r="N127">
        <f t="shared" si="11"/>
        <v>550</v>
      </c>
    </row>
    <row r="128" spans="1:14">
      <c r="A128" t="s">
        <v>189</v>
      </c>
      <c r="B128" s="2">
        <v>45774</v>
      </c>
      <c r="C128" t="s">
        <v>29</v>
      </c>
      <c r="D128" t="s">
        <v>63</v>
      </c>
      <c r="E128" t="s">
        <v>41</v>
      </c>
      <c r="F128" t="s">
        <v>70</v>
      </c>
      <c r="G128" s="3">
        <v>1</v>
      </c>
      <c r="H128" s="4">
        <v>8500</v>
      </c>
      <c r="I128" s="4">
        <v>6100</v>
      </c>
      <c r="J128" t="s">
        <v>16</v>
      </c>
      <c r="K128" t="s">
        <v>33</v>
      </c>
      <c r="L128">
        <f t="shared" si="9"/>
        <v>8500</v>
      </c>
      <c r="M128">
        <f t="shared" si="10"/>
        <v>6100</v>
      </c>
      <c r="N128">
        <f t="shared" si="11"/>
        <v>2400</v>
      </c>
    </row>
    <row r="129" spans="1:14">
      <c r="A129" t="s">
        <v>190</v>
      </c>
      <c r="B129" s="2">
        <v>45672</v>
      </c>
      <c r="C129" t="s">
        <v>12</v>
      </c>
      <c r="D129" t="s">
        <v>13</v>
      </c>
      <c r="E129" t="s">
        <v>45</v>
      </c>
      <c r="F129" t="s">
        <v>46</v>
      </c>
      <c r="G129" s="3">
        <v>1</v>
      </c>
      <c r="H129" s="4">
        <v>7200</v>
      </c>
      <c r="I129" s="4">
        <v>5450</v>
      </c>
      <c r="J129" t="s">
        <v>16</v>
      </c>
      <c r="K129" t="s">
        <v>48</v>
      </c>
      <c r="L129">
        <f t="shared" si="9"/>
        <v>7200</v>
      </c>
      <c r="M129">
        <f t="shared" si="10"/>
        <v>5450</v>
      </c>
      <c r="N129">
        <f t="shared" si="11"/>
        <v>1750</v>
      </c>
    </row>
    <row r="130" spans="1:14">
      <c r="A130" t="s">
        <v>191</v>
      </c>
      <c r="B130" s="2">
        <v>45783</v>
      </c>
      <c r="C130" t="s">
        <v>12</v>
      </c>
      <c r="D130" t="s">
        <v>35</v>
      </c>
      <c r="E130" t="s">
        <v>31</v>
      </c>
      <c r="F130" t="s">
        <v>107</v>
      </c>
      <c r="G130" s="3">
        <v>2</v>
      </c>
      <c r="H130" s="4">
        <v>3200</v>
      </c>
      <c r="I130" s="4">
        <v>2150</v>
      </c>
      <c r="J130" t="s">
        <v>37</v>
      </c>
      <c r="K130" t="s">
        <v>22</v>
      </c>
      <c r="L130">
        <f t="shared" ref="L130:L161" si="12">G130*H130</f>
        <v>6400</v>
      </c>
      <c r="M130">
        <f t="shared" ref="M130:M161" si="13">G130*I130</f>
        <v>4300</v>
      </c>
      <c r="N130">
        <f t="shared" ref="N130:N161" si="14">L130-M130</f>
        <v>2100</v>
      </c>
    </row>
    <row r="131" spans="1:14">
      <c r="A131" t="s">
        <v>192</v>
      </c>
      <c r="B131" s="2">
        <v>45975</v>
      </c>
      <c r="C131" t="s">
        <v>24</v>
      </c>
      <c r="D131" t="s">
        <v>52</v>
      </c>
      <c r="F131" t="s">
        <v>67</v>
      </c>
      <c r="G131" s="3">
        <v>1</v>
      </c>
      <c r="H131" s="4">
        <v>1710</v>
      </c>
      <c r="I131" s="4">
        <v>1050</v>
      </c>
      <c r="J131" t="s">
        <v>27</v>
      </c>
      <c r="K131" t="s">
        <v>33</v>
      </c>
      <c r="L131">
        <f t="shared" si="12"/>
        <v>1710</v>
      </c>
      <c r="M131">
        <f t="shared" si="13"/>
        <v>1050</v>
      </c>
      <c r="N131">
        <f t="shared" si="14"/>
        <v>660</v>
      </c>
    </row>
    <row r="132" spans="1:14">
      <c r="A132" t="s">
        <v>193</v>
      </c>
      <c r="B132" s="2">
        <v>45788</v>
      </c>
      <c r="C132" t="s">
        <v>24</v>
      </c>
      <c r="D132" t="s">
        <v>52</v>
      </c>
      <c r="E132" t="s">
        <v>45</v>
      </c>
      <c r="F132" t="s">
        <v>46</v>
      </c>
      <c r="G132" s="3">
        <v>3</v>
      </c>
      <c r="H132" s="4">
        <v>6840</v>
      </c>
      <c r="I132" s="4">
        <v>5450</v>
      </c>
      <c r="J132" t="s">
        <v>16</v>
      </c>
      <c r="K132" t="s">
        <v>33</v>
      </c>
      <c r="L132">
        <f t="shared" si="12"/>
        <v>20520</v>
      </c>
      <c r="M132">
        <f t="shared" si="13"/>
        <v>16350</v>
      </c>
      <c r="N132">
        <f t="shared" si="14"/>
        <v>4170</v>
      </c>
    </row>
    <row r="133" spans="1:14">
      <c r="A133" t="s">
        <v>194</v>
      </c>
      <c r="B133" s="2">
        <v>45958</v>
      </c>
      <c r="C133" t="s">
        <v>57</v>
      </c>
      <c r="D133" t="s">
        <v>58</v>
      </c>
      <c r="E133" t="s">
        <v>20</v>
      </c>
      <c r="F133" t="s">
        <v>39</v>
      </c>
      <c r="G133" s="3">
        <v>2</v>
      </c>
      <c r="H133" s="4">
        <v>2200</v>
      </c>
      <c r="I133" s="4">
        <v>1350</v>
      </c>
      <c r="J133" t="s">
        <v>47</v>
      </c>
      <c r="K133" t="s">
        <v>17</v>
      </c>
      <c r="L133">
        <f t="shared" si="12"/>
        <v>4400</v>
      </c>
      <c r="M133">
        <f t="shared" si="13"/>
        <v>2700</v>
      </c>
      <c r="N133">
        <f t="shared" si="14"/>
        <v>1700</v>
      </c>
    </row>
    <row r="134" spans="1:14">
      <c r="A134" t="s">
        <v>195</v>
      </c>
      <c r="B134" s="2">
        <v>45854</v>
      </c>
      <c r="C134" t="s">
        <v>29</v>
      </c>
      <c r="D134" t="s">
        <v>30</v>
      </c>
      <c r="E134" t="s">
        <v>45</v>
      </c>
      <c r="F134" t="s">
        <v>46</v>
      </c>
      <c r="G134" s="3">
        <v>5</v>
      </c>
      <c r="H134" s="4">
        <v>7200</v>
      </c>
      <c r="I134" s="4">
        <v>5450</v>
      </c>
      <c r="J134" t="s">
        <v>37</v>
      </c>
      <c r="K134" t="s">
        <v>43</v>
      </c>
      <c r="L134">
        <f t="shared" si="12"/>
        <v>36000</v>
      </c>
      <c r="M134">
        <f t="shared" si="13"/>
        <v>27250</v>
      </c>
      <c r="N134">
        <f t="shared" si="14"/>
        <v>8750</v>
      </c>
    </row>
    <row r="135" spans="1:14">
      <c r="A135" t="s">
        <v>196</v>
      </c>
      <c r="B135" s="2">
        <v>46016</v>
      </c>
      <c r="C135" t="s">
        <v>24</v>
      </c>
      <c r="D135" t="s">
        <v>25</v>
      </c>
      <c r="E135" t="s">
        <v>41</v>
      </c>
      <c r="F135" t="s">
        <v>70</v>
      </c>
      <c r="G135" s="3">
        <v>2</v>
      </c>
      <c r="H135" s="4">
        <v>8500</v>
      </c>
      <c r="I135" s="4">
        <v>6100</v>
      </c>
      <c r="J135" t="s">
        <v>47</v>
      </c>
      <c r="K135" t="s">
        <v>43</v>
      </c>
      <c r="L135">
        <f t="shared" si="12"/>
        <v>17000</v>
      </c>
      <c r="M135">
        <f t="shared" si="13"/>
        <v>12200</v>
      </c>
      <c r="N135">
        <f t="shared" si="14"/>
        <v>4800</v>
      </c>
    </row>
    <row r="136" spans="1:14">
      <c r="A136" t="s">
        <v>197</v>
      </c>
      <c r="B136" s="2">
        <v>45968</v>
      </c>
      <c r="C136" t="s">
        <v>29</v>
      </c>
      <c r="D136" t="s">
        <v>30</v>
      </c>
      <c r="E136" t="s">
        <v>20</v>
      </c>
      <c r="F136" t="s">
        <v>21</v>
      </c>
      <c r="G136" s="3">
        <v>3</v>
      </c>
      <c r="H136" s="4">
        <v>650</v>
      </c>
      <c r="I136" s="4">
        <v>360</v>
      </c>
      <c r="J136" t="s">
        <v>37</v>
      </c>
      <c r="K136" t="s">
        <v>48</v>
      </c>
      <c r="L136">
        <f t="shared" si="12"/>
        <v>1950</v>
      </c>
      <c r="M136">
        <f t="shared" si="13"/>
        <v>1080</v>
      </c>
      <c r="N136">
        <f t="shared" si="14"/>
        <v>870</v>
      </c>
    </row>
    <row r="137" spans="1:14">
      <c r="A137" t="s">
        <v>198</v>
      </c>
      <c r="B137" s="2">
        <v>45786</v>
      </c>
      <c r="C137" t="s">
        <v>24</v>
      </c>
      <c r="D137" t="s">
        <v>50</v>
      </c>
      <c r="E137" t="s">
        <v>20</v>
      </c>
      <c r="F137" t="s">
        <v>26</v>
      </c>
      <c r="G137" s="3">
        <v>3</v>
      </c>
      <c r="H137" s="4">
        <v>855</v>
      </c>
      <c r="I137" s="4">
        <v>520</v>
      </c>
      <c r="J137" t="s">
        <v>27</v>
      </c>
      <c r="K137" t="s">
        <v>17</v>
      </c>
      <c r="L137">
        <f t="shared" si="12"/>
        <v>2565</v>
      </c>
      <c r="M137">
        <f t="shared" si="13"/>
        <v>1560</v>
      </c>
      <c r="N137">
        <f t="shared" si="14"/>
        <v>1005</v>
      </c>
    </row>
    <row r="138" spans="1:14">
      <c r="A138" t="s">
        <v>199</v>
      </c>
      <c r="B138" s="2">
        <v>45954</v>
      </c>
      <c r="C138" t="s">
        <v>12</v>
      </c>
      <c r="D138" t="s">
        <v>13</v>
      </c>
      <c r="E138" t="s">
        <v>31</v>
      </c>
      <c r="F138" t="s">
        <v>32</v>
      </c>
      <c r="G138" s="3">
        <v>5</v>
      </c>
      <c r="H138" s="4">
        <v>14500</v>
      </c>
      <c r="I138" s="4">
        <v>11200</v>
      </c>
      <c r="J138" t="s">
        <v>47</v>
      </c>
      <c r="K138" t="s">
        <v>17</v>
      </c>
      <c r="L138">
        <f t="shared" si="12"/>
        <v>72500</v>
      </c>
      <c r="M138">
        <f t="shared" si="13"/>
        <v>56000</v>
      </c>
      <c r="N138">
        <f t="shared" si="14"/>
        <v>16500</v>
      </c>
    </row>
    <row r="139" spans="1:14">
      <c r="A139" t="s">
        <v>200</v>
      </c>
      <c r="B139" s="2">
        <v>45747</v>
      </c>
      <c r="C139" t="s">
        <v>24</v>
      </c>
      <c r="D139" t="s">
        <v>54</v>
      </c>
      <c r="E139" t="s">
        <v>31</v>
      </c>
      <c r="F139" t="s">
        <v>32</v>
      </c>
      <c r="G139" s="3">
        <v>2</v>
      </c>
      <c r="H139" s="4">
        <v>13775</v>
      </c>
      <c r="I139" s="4">
        <v>11200</v>
      </c>
      <c r="J139" t="s">
        <v>27</v>
      </c>
      <c r="K139" t="s">
        <v>59</v>
      </c>
      <c r="L139">
        <f t="shared" si="12"/>
        <v>27550</v>
      </c>
      <c r="M139">
        <f t="shared" si="13"/>
        <v>22400</v>
      </c>
      <c r="N139">
        <f t="shared" si="14"/>
        <v>5150</v>
      </c>
    </row>
    <row r="140" spans="1:14">
      <c r="A140" t="s">
        <v>201</v>
      </c>
      <c r="B140" s="2">
        <v>45809</v>
      </c>
      <c r="C140" t="s">
        <v>57</v>
      </c>
      <c r="D140" t="s">
        <v>111</v>
      </c>
      <c r="E140" t="s">
        <v>20</v>
      </c>
      <c r="F140" t="s">
        <v>36</v>
      </c>
      <c r="G140" s="3">
        <v>1</v>
      </c>
      <c r="H140" s="4">
        <v>1520</v>
      </c>
      <c r="I140" s="4">
        <v>920</v>
      </c>
      <c r="J140" t="s">
        <v>47</v>
      </c>
      <c r="K140" t="s">
        <v>43</v>
      </c>
      <c r="L140">
        <f t="shared" si="12"/>
        <v>1520</v>
      </c>
      <c r="M140">
        <f t="shared" si="13"/>
        <v>920</v>
      </c>
      <c r="N140">
        <f t="shared" si="14"/>
        <v>600</v>
      </c>
    </row>
    <row r="141" spans="1:14">
      <c r="A141" t="s">
        <v>202</v>
      </c>
      <c r="B141" s="2">
        <v>46004</v>
      </c>
      <c r="C141" t="s">
        <v>29</v>
      </c>
      <c r="D141" t="s">
        <v>63</v>
      </c>
      <c r="E141" t="s">
        <v>20</v>
      </c>
      <c r="F141" t="s">
        <v>67</v>
      </c>
      <c r="G141" s="3">
        <v>4</v>
      </c>
      <c r="H141" s="4">
        <v>1800</v>
      </c>
      <c r="I141" s="4">
        <v>1050</v>
      </c>
      <c r="J141" t="s">
        <v>37</v>
      </c>
      <c r="K141" t="s">
        <v>22</v>
      </c>
      <c r="L141">
        <f t="shared" si="12"/>
        <v>7200</v>
      </c>
      <c r="M141">
        <f t="shared" si="13"/>
        <v>4200</v>
      </c>
      <c r="N141">
        <f t="shared" si="14"/>
        <v>3000</v>
      </c>
    </row>
    <row r="142" spans="1:14">
      <c r="A142" t="s">
        <v>203</v>
      </c>
      <c r="B142" s="2">
        <v>45932</v>
      </c>
      <c r="C142" t="s">
        <v>57</v>
      </c>
      <c r="D142" t="s">
        <v>86</v>
      </c>
      <c r="E142" t="s">
        <v>14</v>
      </c>
      <c r="F142" t="s">
        <v>55</v>
      </c>
      <c r="G142" s="3">
        <v>2</v>
      </c>
      <c r="H142" s="4">
        <v>1900</v>
      </c>
      <c r="I142" s="4">
        <v>1150</v>
      </c>
      <c r="J142" t="s">
        <v>16</v>
      </c>
      <c r="K142" t="s">
        <v>33</v>
      </c>
      <c r="L142">
        <f t="shared" si="12"/>
        <v>3800</v>
      </c>
      <c r="M142">
        <f t="shared" si="13"/>
        <v>2300</v>
      </c>
      <c r="N142">
        <f t="shared" si="14"/>
        <v>1500</v>
      </c>
    </row>
    <row r="143" spans="1:14">
      <c r="A143" t="s">
        <v>204</v>
      </c>
      <c r="B143" s="2">
        <v>45713</v>
      </c>
      <c r="C143" t="s">
        <v>57</v>
      </c>
      <c r="D143" t="s">
        <v>111</v>
      </c>
      <c r="E143" t="s">
        <v>41</v>
      </c>
      <c r="F143" t="s">
        <v>70</v>
      </c>
      <c r="G143" s="3">
        <v>2</v>
      </c>
      <c r="H143" s="4">
        <v>8500</v>
      </c>
      <c r="I143" s="4">
        <v>6100</v>
      </c>
      <c r="J143" t="s">
        <v>27</v>
      </c>
      <c r="K143" t="s">
        <v>33</v>
      </c>
      <c r="L143">
        <f t="shared" si="12"/>
        <v>17000</v>
      </c>
      <c r="M143">
        <f t="shared" si="13"/>
        <v>12200</v>
      </c>
      <c r="N143">
        <f t="shared" si="14"/>
        <v>4800</v>
      </c>
    </row>
    <row r="144" spans="1:14">
      <c r="A144" t="s">
        <v>205</v>
      </c>
      <c r="B144" s="2">
        <v>45983</v>
      </c>
      <c r="C144" t="s">
        <v>12</v>
      </c>
      <c r="D144" t="s">
        <v>35</v>
      </c>
      <c r="E144" t="s">
        <v>41</v>
      </c>
      <c r="F144" t="s">
        <v>70</v>
      </c>
      <c r="G144" s="3">
        <v>1</v>
      </c>
      <c r="H144" s="4">
        <v>8500</v>
      </c>
      <c r="I144" s="4">
        <v>6100</v>
      </c>
      <c r="J144" t="s">
        <v>37</v>
      </c>
      <c r="K144" t="s">
        <v>17</v>
      </c>
      <c r="L144">
        <f t="shared" si="12"/>
        <v>8500</v>
      </c>
      <c r="M144">
        <f t="shared" si="13"/>
        <v>6100</v>
      </c>
      <c r="N144">
        <f t="shared" si="14"/>
        <v>2400</v>
      </c>
    </row>
    <row r="145" spans="1:14">
      <c r="A145" t="s">
        <v>206</v>
      </c>
      <c r="B145" s="2">
        <v>45813</v>
      </c>
      <c r="C145" t="s">
        <v>57</v>
      </c>
      <c r="D145" t="s">
        <v>77</v>
      </c>
      <c r="E145" t="s">
        <v>20</v>
      </c>
      <c r="F145" t="s">
        <v>39</v>
      </c>
      <c r="G145" s="3">
        <v>1</v>
      </c>
      <c r="H145" s="4">
        <v>2200</v>
      </c>
      <c r="I145" s="4">
        <v>1350</v>
      </c>
      <c r="J145" t="s">
        <v>37</v>
      </c>
      <c r="K145" t="s">
        <v>43</v>
      </c>
      <c r="L145">
        <f t="shared" si="12"/>
        <v>2200</v>
      </c>
      <c r="M145">
        <f t="shared" si="13"/>
        <v>1350</v>
      </c>
      <c r="N145">
        <f t="shared" si="14"/>
        <v>850</v>
      </c>
    </row>
    <row r="146" spans="1:14">
      <c r="A146" t="s">
        <v>207</v>
      </c>
      <c r="B146" s="2">
        <v>45847</v>
      </c>
      <c r="C146" t="s">
        <v>12</v>
      </c>
      <c r="D146" t="s">
        <v>79</v>
      </c>
      <c r="E146" t="s">
        <v>45</v>
      </c>
      <c r="F146" t="s">
        <v>75</v>
      </c>
      <c r="G146" s="3">
        <v>1</v>
      </c>
      <c r="H146" s="4">
        <v>5320</v>
      </c>
      <c r="I146" s="4">
        <v>4100</v>
      </c>
      <c r="J146" t="s">
        <v>37</v>
      </c>
      <c r="K146" t="s">
        <v>22</v>
      </c>
      <c r="L146">
        <f t="shared" si="12"/>
        <v>5320</v>
      </c>
      <c r="M146">
        <f t="shared" si="13"/>
        <v>4100</v>
      </c>
      <c r="N146">
        <f t="shared" si="14"/>
        <v>1220</v>
      </c>
    </row>
    <row r="147" spans="1:14">
      <c r="A147" t="s">
        <v>208</v>
      </c>
      <c r="B147" s="2">
        <v>45973</v>
      </c>
      <c r="C147" t="s">
        <v>24</v>
      </c>
      <c r="D147" t="s">
        <v>25</v>
      </c>
      <c r="E147" t="s">
        <v>41</v>
      </c>
      <c r="F147" t="s">
        <v>42</v>
      </c>
      <c r="G147" s="3">
        <v>1</v>
      </c>
      <c r="H147" s="4">
        <v>1140</v>
      </c>
      <c r="I147" s="4">
        <v>650</v>
      </c>
      <c r="J147" t="s">
        <v>37</v>
      </c>
      <c r="K147" t="s">
        <v>48</v>
      </c>
      <c r="L147">
        <f t="shared" si="12"/>
        <v>1140</v>
      </c>
      <c r="M147">
        <f t="shared" si="13"/>
        <v>650</v>
      </c>
      <c r="N147">
        <f t="shared" si="14"/>
        <v>490</v>
      </c>
    </row>
    <row r="148" spans="1:14">
      <c r="A148" t="s">
        <v>209</v>
      </c>
      <c r="B148" s="2">
        <v>45843</v>
      </c>
      <c r="C148" t="s">
        <v>12</v>
      </c>
      <c r="D148" t="s">
        <v>35</v>
      </c>
      <c r="E148" t="s">
        <v>20</v>
      </c>
      <c r="F148" t="s">
        <v>26</v>
      </c>
      <c r="G148" s="3">
        <v>2</v>
      </c>
      <c r="H148" s="4">
        <v>950</v>
      </c>
      <c r="I148" s="4">
        <v>520</v>
      </c>
      <c r="J148" t="s">
        <v>16</v>
      </c>
      <c r="K148" t="s">
        <v>17</v>
      </c>
      <c r="L148">
        <f t="shared" si="12"/>
        <v>1900</v>
      </c>
      <c r="M148">
        <f t="shared" si="13"/>
        <v>1040</v>
      </c>
      <c r="N148">
        <f t="shared" si="14"/>
        <v>860</v>
      </c>
    </row>
    <row r="149" spans="1:14">
      <c r="A149" t="s">
        <v>210</v>
      </c>
      <c r="B149" s="2">
        <v>45720</v>
      </c>
      <c r="C149" t="s">
        <v>57</v>
      </c>
      <c r="D149" t="s">
        <v>111</v>
      </c>
      <c r="E149" t="s">
        <v>20</v>
      </c>
      <c r="F149" t="s">
        <v>21</v>
      </c>
      <c r="G149" s="3">
        <v>2</v>
      </c>
      <c r="H149" s="4">
        <v>650</v>
      </c>
      <c r="I149" s="4">
        <v>360</v>
      </c>
      <c r="J149" t="s">
        <v>37</v>
      </c>
      <c r="K149" t="s">
        <v>43</v>
      </c>
      <c r="L149">
        <f t="shared" si="12"/>
        <v>1300</v>
      </c>
      <c r="M149">
        <f t="shared" si="13"/>
        <v>720</v>
      </c>
      <c r="N149">
        <f t="shared" si="14"/>
        <v>580</v>
      </c>
    </row>
    <row r="150" spans="1:14">
      <c r="A150" t="s">
        <v>211</v>
      </c>
      <c r="B150" s="2">
        <v>45722</v>
      </c>
      <c r="C150" t="s">
        <v>24</v>
      </c>
      <c r="D150" t="s">
        <v>54</v>
      </c>
      <c r="E150" t="s">
        <v>20</v>
      </c>
      <c r="F150" t="s">
        <v>21</v>
      </c>
      <c r="G150" s="3">
        <v>5</v>
      </c>
      <c r="H150" s="4">
        <v>650</v>
      </c>
      <c r="I150" s="4">
        <v>360</v>
      </c>
      <c r="J150" t="s">
        <v>27</v>
      </c>
      <c r="K150" t="s">
        <v>43</v>
      </c>
      <c r="L150">
        <f t="shared" si="12"/>
        <v>3250</v>
      </c>
      <c r="M150">
        <f t="shared" si="13"/>
        <v>1800</v>
      </c>
      <c r="N150">
        <f t="shared" si="14"/>
        <v>1450</v>
      </c>
    </row>
    <row r="151" spans="1:14">
      <c r="A151" t="s">
        <v>212</v>
      </c>
      <c r="B151" s="2">
        <v>45733</v>
      </c>
      <c r="C151" t="s">
        <v>24</v>
      </c>
      <c r="D151" t="s">
        <v>52</v>
      </c>
      <c r="E151" t="s">
        <v>20</v>
      </c>
      <c r="F151" t="s">
        <v>36</v>
      </c>
      <c r="G151" s="3">
        <v>6</v>
      </c>
      <c r="H151" s="4">
        <v>1600</v>
      </c>
      <c r="I151" s="4">
        <v>920</v>
      </c>
      <c r="J151" t="s">
        <v>16</v>
      </c>
      <c r="K151" t="s">
        <v>48</v>
      </c>
      <c r="L151">
        <f t="shared" si="12"/>
        <v>9600</v>
      </c>
      <c r="M151">
        <f t="shared" si="13"/>
        <v>5520</v>
      </c>
      <c r="N151">
        <f t="shared" si="14"/>
        <v>4080</v>
      </c>
    </row>
    <row r="152" spans="1:14">
      <c r="A152" t="s">
        <v>213</v>
      </c>
      <c r="B152" s="2">
        <v>45714</v>
      </c>
      <c r="C152" t="s">
        <v>24</v>
      </c>
      <c r="D152" t="s">
        <v>52</v>
      </c>
      <c r="E152" t="s">
        <v>45</v>
      </c>
      <c r="F152" t="s">
        <v>75</v>
      </c>
      <c r="G152" s="3">
        <v>2</v>
      </c>
      <c r="H152" s="4">
        <v>5600</v>
      </c>
      <c r="I152" s="4">
        <v>4100</v>
      </c>
      <c r="J152" t="s">
        <v>16</v>
      </c>
      <c r="K152" t="s">
        <v>59</v>
      </c>
      <c r="L152">
        <f t="shared" si="12"/>
        <v>11200</v>
      </c>
      <c r="M152">
        <f t="shared" si="13"/>
        <v>8200</v>
      </c>
      <c r="N152">
        <f t="shared" si="14"/>
        <v>3000</v>
      </c>
    </row>
    <row r="153" spans="1:14">
      <c r="A153" t="s">
        <v>214</v>
      </c>
      <c r="B153" s="2">
        <v>45823</v>
      </c>
      <c r="C153" t="s">
        <v>12</v>
      </c>
      <c r="D153" t="s">
        <v>35</v>
      </c>
      <c r="E153" t="s">
        <v>14</v>
      </c>
      <c r="F153" t="s">
        <v>55</v>
      </c>
      <c r="G153" s="3">
        <v>5</v>
      </c>
      <c r="H153" s="4">
        <v>1710</v>
      </c>
      <c r="I153" s="4">
        <v>1150</v>
      </c>
      <c r="J153" t="s">
        <v>16</v>
      </c>
      <c r="K153" t="s">
        <v>59</v>
      </c>
      <c r="L153">
        <f t="shared" si="12"/>
        <v>8550</v>
      </c>
      <c r="M153">
        <f t="shared" si="13"/>
        <v>5750</v>
      </c>
      <c r="N153">
        <f t="shared" si="14"/>
        <v>2800</v>
      </c>
    </row>
    <row r="154" spans="1:14">
      <c r="A154" t="s">
        <v>215</v>
      </c>
      <c r="B154" s="2">
        <v>45716</v>
      </c>
      <c r="C154" t="s">
        <v>57</v>
      </c>
      <c r="D154" t="s">
        <v>86</v>
      </c>
      <c r="E154" t="s">
        <v>20</v>
      </c>
      <c r="F154" t="s">
        <v>67</v>
      </c>
      <c r="G154" s="3">
        <v>4</v>
      </c>
      <c r="H154" s="4">
        <v>1620</v>
      </c>
      <c r="I154" s="4">
        <v>1050</v>
      </c>
      <c r="J154" t="s">
        <v>16</v>
      </c>
      <c r="K154" t="s">
        <v>33</v>
      </c>
      <c r="L154">
        <f t="shared" si="12"/>
        <v>6480</v>
      </c>
      <c r="M154">
        <f t="shared" si="13"/>
        <v>4200</v>
      </c>
      <c r="N154">
        <f t="shared" si="14"/>
        <v>2280</v>
      </c>
    </row>
    <row r="155" spans="1:14">
      <c r="A155" t="s">
        <v>216</v>
      </c>
      <c r="B155" s="2">
        <v>45915</v>
      </c>
      <c r="C155" t="s">
        <v>29</v>
      </c>
      <c r="D155" t="s">
        <v>30</v>
      </c>
      <c r="E155" t="s">
        <v>45</v>
      </c>
      <c r="F155" t="s">
        <v>75</v>
      </c>
      <c r="G155" s="3">
        <v>3</v>
      </c>
      <c r="H155" s="4">
        <v>5320</v>
      </c>
      <c r="I155" s="4">
        <v>4100</v>
      </c>
      <c r="J155" t="s">
        <v>27</v>
      </c>
      <c r="K155" t="s">
        <v>22</v>
      </c>
      <c r="L155">
        <f t="shared" si="12"/>
        <v>15960</v>
      </c>
      <c r="M155">
        <f t="shared" si="13"/>
        <v>12300</v>
      </c>
      <c r="N155">
        <f t="shared" si="14"/>
        <v>3660</v>
      </c>
    </row>
    <row r="156" spans="1:14">
      <c r="A156" t="s">
        <v>217</v>
      </c>
      <c r="B156" s="2">
        <v>45689</v>
      </c>
      <c r="C156" t="s">
        <v>12</v>
      </c>
      <c r="D156" t="s">
        <v>35</v>
      </c>
      <c r="E156" t="s">
        <v>45</v>
      </c>
      <c r="F156" t="s">
        <v>46</v>
      </c>
      <c r="G156" s="3">
        <v>4</v>
      </c>
      <c r="H156" s="4">
        <v>7200</v>
      </c>
      <c r="I156" s="4">
        <v>5450</v>
      </c>
      <c r="J156" t="s">
        <v>37</v>
      </c>
      <c r="K156" t="s">
        <v>33</v>
      </c>
      <c r="L156">
        <f t="shared" si="12"/>
        <v>28800</v>
      </c>
      <c r="M156">
        <f t="shared" si="13"/>
        <v>21800</v>
      </c>
      <c r="N156">
        <f t="shared" si="14"/>
        <v>7000</v>
      </c>
    </row>
    <row r="157" spans="1:14">
      <c r="A157" t="s">
        <v>218</v>
      </c>
      <c r="B157" s="2">
        <v>45695</v>
      </c>
      <c r="C157" t="s">
        <v>29</v>
      </c>
      <c r="D157" t="s">
        <v>63</v>
      </c>
      <c r="E157" t="s">
        <v>45</v>
      </c>
      <c r="F157" t="s">
        <v>46</v>
      </c>
      <c r="G157" s="3">
        <v>4</v>
      </c>
      <c r="H157" s="4">
        <v>6840</v>
      </c>
      <c r="I157" s="4">
        <v>5450</v>
      </c>
      <c r="J157" t="s">
        <v>16</v>
      </c>
      <c r="K157" t="s">
        <v>48</v>
      </c>
      <c r="L157">
        <f t="shared" si="12"/>
        <v>27360</v>
      </c>
      <c r="M157">
        <f t="shared" si="13"/>
        <v>21800</v>
      </c>
      <c r="N157">
        <f t="shared" si="14"/>
        <v>5560</v>
      </c>
    </row>
    <row r="158" spans="1:14">
      <c r="A158" t="s">
        <v>219</v>
      </c>
      <c r="B158" s="2">
        <v>45938</v>
      </c>
      <c r="C158" t="s">
        <v>24</v>
      </c>
      <c r="D158" t="s">
        <v>54</v>
      </c>
      <c r="E158" t="s">
        <v>20</v>
      </c>
      <c r="F158" t="s">
        <v>67</v>
      </c>
      <c r="G158" s="3">
        <v>2</v>
      </c>
      <c r="H158" s="4">
        <v>1620</v>
      </c>
      <c r="I158" s="4">
        <v>1050</v>
      </c>
      <c r="J158" t="s">
        <v>47</v>
      </c>
      <c r="K158" t="s">
        <v>33</v>
      </c>
      <c r="L158">
        <f t="shared" si="12"/>
        <v>3240</v>
      </c>
      <c r="M158">
        <f t="shared" si="13"/>
        <v>2100</v>
      </c>
      <c r="N158">
        <f t="shared" si="14"/>
        <v>1140</v>
      </c>
    </row>
    <row r="159" spans="1:14">
      <c r="A159" t="s">
        <v>220</v>
      </c>
      <c r="B159" s="2">
        <v>46017</v>
      </c>
      <c r="C159" t="s">
        <v>57</v>
      </c>
      <c r="D159" t="s">
        <v>77</v>
      </c>
      <c r="E159" t="s">
        <v>45</v>
      </c>
      <c r="F159" t="s">
        <v>75</v>
      </c>
      <c r="G159" s="3">
        <v>3</v>
      </c>
      <c r="H159" s="4">
        <v>5600</v>
      </c>
      <c r="I159" s="4">
        <v>4100</v>
      </c>
      <c r="J159" t="s">
        <v>16</v>
      </c>
      <c r="K159" t="s">
        <v>17</v>
      </c>
      <c r="L159">
        <f t="shared" si="12"/>
        <v>16800</v>
      </c>
      <c r="M159">
        <f t="shared" si="13"/>
        <v>12300</v>
      </c>
      <c r="N159">
        <f t="shared" si="14"/>
        <v>4500</v>
      </c>
    </row>
    <row r="160" spans="1:14">
      <c r="A160" t="s">
        <v>221</v>
      </c>
      <c r="B160" s="2">
        <v>45831</v>
      </c>
      <c r="C160" t="s">
        <v>24</v>
      </c>
      <c r="D160" t="s">
        <v>25</v>
      </c>
      <c r="E160" t="s">
        <v>45</v>
      </c>
      <c r="F160" t="s">
        <v>46</v>
      </c>
      <c r="G160" s="3">
        <v>6</v>
      </c>
      <c r="H160" s="4">
        <v>6840</v>
      </c>
      <c r="I160" s="4">
        <v>5450</v>
      </c>
      <c r="J160" t="s">
        <v>37</v>
      </c>
      <c r="K160" t="s">
        <v>33</v>
      </c>
      <c r="L160">
        <f t="shared" si="12"/>
        <v>41040</v>
      </c>
      <c r="M160">
        <f t="shared" si="13"/>
        <v>32700</v>
      </c>
      <c r="N160">
        <f t="shared" si="14"/>
        <v>8340</v>
      </c>
    </row>
    <row r="161" spans="1:14">
      <c r="A161" t="s">
        <v>222</v>
      </c>
      <c r="B161" s="2">
        <v>45849</v>
      </c>
      <c r="C161" t="s">
        <v>29</v>
      </c>
      <c r="D161" t="s">
        <v>63</v>
      </c>
      <c r="E161" t="s">
        <v>31</v>
      </c>
      <c r="F161" t="s">
        <v>107</v>
      </c>
      <c r="G161" s="3">
        <v>2</v>
      </c>
      <c r="H161" s="4">
        <v>3200</v>
      </c>
      <c r="I161" s="4">
        <v>2150</v>
      </c>
      <c r="J161" t="s">
        <v>27</v>
      </c>
      <c r="K161" t="s">
        <v>17</v>
      </c>
      <c r="L161">
        <f t="shared" si="12"/>
        <v>6400</v>
      </c>
      <c r="M161">
        <f t="shared" si="13"/>
        <v>4300</v>
      </c>
      <c r="N161">
        <f t="shared" si="14"/>
        <v>2100</v>
      </c>
    </row>
    <row r="162" spans="1:14">
      <c r="A162" t="s">
        <v>223</v>
      </c>
      <c r="B162" s="2">
        <v>45879</v>
      </c>
      <c r="C162" t="s">
        <v>29</v>
      </c>
      <c r="D162" t="s">
        <v>63</v>
      </c>
      <c r="E162" t="s">
        <v>20</v>
      </c>
      <c r="F162" t="s">
        <v>39</v>
      </c>
      <c r="G162" s="3">
        <v>5</v>
      </c>
      <c r="H162" s="4">
        <v>2200</v>
      </c>
      <c r="I162" s="4">
        <v>1350</v>
      </c>
      <c r="J162" t="s">
        <v>16</v>
      </c>
      <c r="K162" t="s">
        <v>17</v>
      </c>
      <c r="L162">
        <f t="shared" ref="L162:L181" si="15">G162*H162</f>
        <v>11000</v>
      </c>
      <c r="M162">
        <f t="shared" ref="M162:M181" si="16">G162*I162</f>
        <v>6750</v>
      </c>
      <c r="N162">
        <f t="shared" ref="N162:N181" si="17">L162-M162</f>
        <v>4250</v>
      </c>
    </row>
    <row r="163" spans="1:14">
      <c r="A163" t="s">
        <v>224</v>
      </c>
      <c r="B163" s="2">
        <v>45945</v>
      </c>
      <c r="C163" t="s">
        <v>57</v>
      </c>
      <c r="D163" t="s">
        <v>58</v>
      </c>
      <c r="E163" t="s">
        <v>45</v>
      </c>
      <c r="F163" t="s">
        <v>75</v>
      </c>
      <c r="G163" s="3">
        <v>1</v>
      </c>
      <c r="H163" s="4">
        <v>5040</v>
      </c>
      <c r="I163" s="4">
        <v>4100</v>
      </c>
      <c r="J163" t="s">
        <v>47</v>
      </c>
      <c r="K163" t="s">
        <v>17</v>
      </c>
      <c r="L163">
        <f t="shared" si="15"/>
        <v>5040</v>
      </c>
      <c r="M163">
        <f t="shared" si="16"/>
        <v>4100</v>
      </c>
      <c r="N163">
        <f t="shared" si="17"/>
        <v>940</v>
      </c>
    </row>
    <row r="164" spans="1:14">
      <c r="A164" t="s">
        <v>225</v>
      </c>
      <c r="B164" s="2">
        <v>45684</v>
      </c>
      <c r="C164" t="s">
        <v>12</v>
      </c>
      <c r="D164" t="s">
        <v>19</v>
      </c>
      <c r="E164" t="s">
        <v>31</v>
      </c>
      <c r="F164" t="s">
        <v>107</v>
      </c>
      <c r="G164" s="3">
        <v>6</v>
      </c>
      <c r="H164" s="4">
        <v>3040</v>
      </c>
      <c r="I164" s="4">
        <v>2150</v>
      </c>
      <c r="J164" t="s">
        <v>47</v>
      </c>
      <c r="K164" t="s">
        <v>22</v>
      </c>
      <c r="L164">
        <f t="shared" si="15"/>
        <v>18240</v>
      </c>
      <c r="M164">
        <f t="shared" si="16"/>
        <v>12900</v>
      </c>
      <c r="N164">
        <f t="shared" si="17"/>
        <v>5340</v>
      </c>
    </row>
    <row r="165" spans="1:14">
      <c r="A165" t="s">
        <v>226</v>
      </c>
      <c r="B165" s="2">
        <v>45737</v>
      </c>
      <c r="C165" t="s">
        <v>57</v>
      </c>
      <c r="D165" t="s">
        <v>111</v>
      </c>
      <c r="E165" t="s">
        <v>20</v>
      </c>
      <c r="F165" t="s">
        <v>39</v>
      </c>
      <c r="G165" s="3">
        <v>3</v>
      </c>
      <c r="H165" s="4">
        <v>2200</v>
      </c>
      <c r="I165" s="4">
        <v>1350</v>
      </c>
      <c r="J165" t="s">
        <v>37</v>
      </c>
      <c r="K165" t="s">
        <v>59</v>
      </c>
      <c r="L165">
        <f t="shared" si="15"/>
        <v>6600</v>
      </c>
      <c r="M165">
        <f t="shared" si="16"/>
        <v>4050</v>
      </c>
      <c r="N165">
        <f t="shared" si="17"/>
        <v>2550</v>
      </c>
    </row>
    <row r="166" spans="1:14">
      <c r="A166" t="s">
        <v>227</v>
      </c>
      <c r="B166" s="2">
        <v>45800</v>
      </c>
      <c r="C166" t="s">
        <v>12</v>
      </c>
      <c r="D166" t="s">
        <v>35</v>
      </c>
      <c r="E166" t="s">
        <v>20</v>
      </c>
      <c r="F166" t="s">
        <v>36</v>
      </c>
      <c r="G166" s="3">
        <v>3</v>
      </c>
      <c r="H166" s="4">
        <v>1600</v>
      </c>
      <c r="I166" s="4">
        <v>920</v>
      </c>
      <c r="J166" t="s">
        <v>27</v>
      </c>
      <c r="K166" t="s">
        <v>33</v>
      </c>
      <c r="L166">
        <f t="shared" si="15"/>
        <v>4800</v>
      </c>
      <c r="M166">
        <f t="shared" si="16"/>
        <v>2760</v>
      </c>
      <c r="N166">
        <f t="shared" si="17"/>
        <v>2040</v>
      </c>
    </row>
    <row r="167" spans="1:14">
      <c r="A167" t="s">
        <v>228</v>
      </c>
      <c r="B167" s="2">
        <v>45831</v>
      </c>
      <c r="C167" t="s">
        <v>12</v>
      </c>
      <c r="D167" t="s">
        <v>35</v>
      </c>
      <c r="E167" t="s">
        <v>20</v>
      </c>
      <c r="F167" t="s">
        <v>21</v>
      </c>
      <c r="G167" s="3">
        <v>1</v>
      </c>
      <c r="H167" s="4">
        <v>650</v>
      </c>
      <c r="I167" s="4">
        <v>360</v>
      </c>
      <c r="J167" t="s">
        <v>47</v>
      </c>
      <c r="K167" t="s">
        <v>43</v>
      </c>
      <c r="L167">
        <f t="shared" si="15"/>
        <v>650</v>
      </c>
      <c r="M167">
        <f t="shared" si="16"/>
        <v>360</v>
      </c>
      <c r="N167">
        <f t="shared" si="17"/>
        <v>290</v>
      </c>
    </row>
    <row r="168" spans="1:14">
      <c r="A168" t="s">
        <v>229</v>
      </c>
      <c r="B168" s="2">
        <v>45730</v>
      </c>
      <c r="C168" t="s">
        <v>24</v>
      </c>
      <c r="D168" t="s">
        <v>52</v>
      </c>
      <c r="E168" t="s">
        <v>41</v>
      </c>
      <c r="F168" t="s">
        <v>70</v>
      </c>
      <c r="G168" s="3">
        <v>4</v>
      </c>
      <c r="H168" s="4">
        <v>8500</v>
      </c>
      <c r="I168" s="4">
        <v>6100</v>
      </c>
      <c r="J168" t="s">
        <v>16</v>
      </c>
      <c r="K168" t="s">
        <v>43</v>
      </c>
      <c r="L168">
        <f t="shared" si="15"/>
        <v>34000</v>
      </c>
      <c r="M168">
        <f t="shared" si="16"/>
        <v>24400</v>
      </c>
      <c r="N168">
        <f t="shared" si="17"/>
        <v>9600</v>
      </c>
    </row>
    <row r="169" spans="1:14">
      <c r="A169" t="s">
        <v>230</v>
      </c>
      <c r="B169" s="2">
        <v>45847</v>
      </c>
      <c r="C169" t="s">
        <v>24</v>
      </c>
      <c r="D169" t="s">
        <v>25</v>
      </c>
      <c r="E169" t="s">
        <v>31</v>
      </c>
      <c r="F169" t="s">
        <v>64</v>
      </c>
      <c r="G169" s="3">
        <v>2</v>
      </c>
      <c r="H169" s="4">
        <v>2400</v>
      </c>
      <c r="I169" s="4">
        <v>1450</v>
      </c>
      <c r="J169" t="s">
        <v>47</v>
      </c>
      <c r="K169" t="s">
        <v>17</v>
      </c>
      <c r="L169">
        <f t="shared" si="15"/>
        <v>4800</v>
      </c>
      <c r="M169">
        <f t="shared" si="16"/>
        <v>2900</v>
      </c>
      <c r="N169">
        <f t="shared" si="17"/>
        <v>1900</v>
      </c>
    </row>
    <row r="170" spans="1:14">
      <c r="A170" t="s">
        <v>231</v>
      </c>
      <c r="B170" s="2">
        <v>45683</v>
      </c>
      <c r="C170" t="s">
        <v>57</v>
      </c>
      <c r="D170" t="s">
        <v>86</v>
      </c>
      <c r="E170" t="s">
        <v>20</v>
      </c>
      <c r="F170" t="s">
        <v>21</v>
      </c>
      <c r="G170" s="3">
        <v>1</v>
      </c>
      <c r="H170" s="4">
        <v>585</v>
      </c>
      <c r="I170" s="4">
        <v>360</v>
      </c>
      <c r="J170" t="s">
        <v>16</v>
      </c>
      <c r="K170" t="s">
        <v>48</v>
      </c>
      <c r="L170">
        <f t="shared" si="15"/>
        <v>585</v>
      </c>
      <c r="M170">
        <f t="shared" si="16"/>
        <v>360</v>
      </c>
      <c r="N170">
        <f t="shared" si="17"/>
        <v>225</v>
      </c>
    </row>
    <row r="171" spans="1:14">
      <c r="A171" t="s">
        <v>232</v>
      </c>
      <c r="B171" s="2">
        <v>45797</v>
      </c>
      <c r="C171" t="s">
        <v>29</v>
      </c>
      <c r="D171" t="s">
        <v>83</v>
      </c>
      <c r="E171" t="s">
        <v>45</v>
      </c>
      <c r="F171" t="s">
        <v>46</v>
      </c>
      <c r="G171" s="3">
        <v>3</v>
      </c>
      <c r="H171" s="4">
        <v>6840</v>
      </c>
      <c r="I171" s="4">
        <v>5450</v>
      </c>
      <c r="J171" t="s">
        <v>27</v>
      </c>
      <c r="K171" t="s">
        <v>22</v>
      </c>
      <c r="L171">
        <f t="shared" si="15"/>
        <v>20520</v>
      </c>
      <c r="M171">
        <f t="shared" si="16"/>
        <v>16350</v>
      </c>
      <c r="N171">
        <f t="shared" si="17"/>
        <v>4170</v>
      </c>
    </row>
    <row r="172" spans="1:14">
      <c r="A172" t="s">
        <v>233</v>
      </c>
      <c r="B172" s="2">
        <v>45907</v>
      </c>
      <c r="C172" t="s">
        <v>12</v>
      </c>
      <c r="D172" t="s">
        <v>35</v>
      </c>
      <c r="E172" t="s">
        <v>31</v>
      </c>
      <c r="F172" t="s">
        <v>64</v>
      </c>
      <c r="G172" s="3">
        <v>1</v>
      </c>
      <c r="H172" s="4">
        <v>2160</v>
      </c>
      <c r="I172" s="4">
        <v>1450</v>
      </c>
      <c r="J172" t="s">
        <v>47</v>
      </c>
      <c r="K172" t="s">
        <v>43</v>
      </c>
      <c r="L172">
        <f t="shared" si="15"/>
        <v>2160</v>
      </c>
      <c r="M172">
        <f t="shared" si="16"/>
        <v>1450</v>
      </c>
      <c r="N172">
        <f t="shared" si="17"/>
        <v>710</v>
      </c>
    </row>
    <row r="173" spans="1:14">
      <c r="A173" t="s">
        <v>234</v>
      </c>
      <c r="B173" s="2">
        <v>45812</v>
      </c>
      <c r="C173" t="s">
        <v>24</v>
      </c>
      <c r="D173" t="s">
        <v>25</v>
      </c>
      <c r="E173" t="s">
        <v>41</v>
      </c>
      <c r="F173" t="s">
        <v>70</v>
      </c>
      <c r="G173" s="3">
        <v>1</v>
      </c>
      <c r="H173" s="4">
        <v>8500</v>
      </c>
      <c r="I173" s="4">
        <v>6100</v>
      </c>
      <c r="J173" t="s">
        <v>27</v>
      </c>
      <c r="K173" t="s">
        <v>59</v>
      </c>
      <c r="L173">
        <f t="shared" si="15"/>
        <v>8500</v>
      </c>
      <c r="M173">
        <f t="shared" si="16"/>
        <v>6100</v>
      </c>
      <c r="N173">
        <f t="shared" si="17"/>
        <v>2400</v>
      </c>
    </row>
    <row r="174" spans="1:14">
      <c r="A174" t="s">
        <v>235</v>
      </c>
      <c r="B174" s="2">
        <v>45878</v>
      </c>
      <c r="C174" t="s">
        <v>57</v>
      </c>
      <c r="D174" t="s">
        <v>111</v>
      </c>
      <c r="E174" t="s">
        <v>31</v>
      </c>
      <c r="F174" t="s">
        <v>107</v>
      </c>
      <c r="G174" s="3">
        <v>1</v>
      </c>
      <c r="H174" s="4">
        <v>3040</v>
      </c>
      <c r="I174" s="4">
        <v>2150</v>
      </c>
      <c r="J174" t="s">
        <v>27</v>
      </c>
      <c r="K174" t="s">
        <v>59</v>
      </c>
      <c r="L174">
        <f t="shared" si="15"/>
        <v>3040</v>
      </c>
      <c r="M174">
        <f t="shared" si="16"/>
        <v>2150</v>
      </c>
      <c r="N174">
        <f t="shared" si="17"/>
        <v>890</v>
      </c>
    </row>
    <row r="175" spans="1:14">
      <c r="A175" t="s">
        <v>236</v>
      </c>
      <c r="B175" s="2">
        <v>45694</v>
      </c>
      <c r="C175" t="s">
        <v>29</v>
      </c>
      <c r="D175" t="s">
        <v>74</v>
      </c>
      <c r="E175" t="s">
        <v>45</v>
      </c>
      <c r="F175" t="s">
        <v>75</v>
      </c>
      <c r="G175" s="3">
        <v>3</v>
      </c>
      <c r="H175" s="4">
        <v>5600</v>
      </c>
      <c r="I175" s="4">
        <v>4100</v>
      </c>
      <c r="J175" t="s">
        <v>37</v>
      </c>
      <c r="K175" t="s">
        <v>17</v>
      </c>
      <c r="L175">
        <f t="shared" si="15"/>
        <v>16800</v>
      </c>
      <c r="M175">
        <f t="shared" si="16"/>
        <v>12300</v>
      </c>
      <c r="N175">
        <f t="shared" si="17"/>
        <v>4500</v>
      </c>
    </row>
    <row r="176" spans="1:14">
      <c r="A176" t="s">
        <v>237</v>
      </c>
      <c r="B176" s="2">
        <v>45818</v>
      </c>
      <c r="C176" t="s">
        <v>12</v>
      </c>
      <c r="D176" t="s">
        <v>19</v>
      </c>
      <c r="E176" t="s">
        <v>20</v>
      </c>
      <c r="F176" t="s">
        <v>21</v>
      </c>
      <c r="G176" s="3">
        <v>2</v>
      </c>
      <c r="H176" s="4">
        <v>650</v>
      </c>
      <c r="I176" s="4">
        <v>360</v>
      </c>
      <c r="J176" t="s">
        <v>37</v>
      </c>
      <c r="K176" t="s">
        <v>22</v>
      </c>
      <c r="L176">
        <f t="shared" si="15"/>
        <v>1300</v>
      </c>
      <c r="M176">
        <f t="shared" si="16"/>
        <v>720</v>
      </c>
      <c r="N176">
        <f t="shared" si="17"/>
        <v>580</v>
      </c>
    </row>
    <row r="177" spans="1:14">
      <c r="A177" t="s">
        <v>238</v>
      </c>
      <c r="B177" s="2">
        <v>45824</v>
      </c>
      <c r="C177" t="s">
        <v>29</v>
      </c>
      <c r="D177" t="s">
        <v>83</v>
      </c>
      <c r="E177" t="s">
        <v>31</v>
      </c>
      <c r="F177" t="s">
        <v>32</v>
      </c>
      <c r="G177" s="3">
        <v>1</v>
      </c>
      <c r="H177" s="4">
        <v>14500</v>
      </c>
      <c r="I177" s="4">
        <v>11200</v>
      </c>
      <c r="J177" t="s">
        <v>27</v>
      </c>
      <c r="K177" t="s">
        <v>22</v>
      </c>
      <c r="L177">
        <f t="shared" si="15"/>
        <v>14500</v>
      </c>
      <c r="M177">
        <f t="shared" si="16"/>
        <v>11200</v>
      </c>
      <c r="N177">
        <f t="shared" si="17"/>
        <v>3300</v>
      </c>
    </row>
    <row r="178" spans="1:14">
      <c r="A178" t="s">
        <v>239</v>
      </c>
      <c r="B178" s="2">
        <v>45782</v>
      </c>
      <c r="C178" t="s">
        <v>29</v>
      </c>
      <c r="D178" t="s">
        <v>30</v>
      </c>
      <c r="E178" t="s">
        <v>20</v>
      </c>
      <c r="F178" t="s">
        <v>39</v>
      </c>
      <c r="G178" s="3">
        <v>2</v>
      </c>
      <c r="H178" s="4">
        <v>2200</v>
      </c>
      <c r="I178" s="4">
        <v>1350</v>
      </c>
      <c r="J178" t="s">
        <v>37</v>
      </c>
      <c r="K178" t="s">
        <v>22</v>
      </c>
      <c r="L178">
        <f t="shared" si="15"/>
        <v>4400</v>
      </c>
      <c r="M178">
        <f t="shared" si="16"/>
        <v>2700</v>
      </c>
      <c r="N178">
        <f t="shared" si="17"/>
        <v>1700</v>
      </c>
    </row>
    <row r="179" spans="1:14">
      <c r="A179" t="s">
        <v>240</v>
      </c>
      <c r="B179" s="2">
        <v>45771</v>
      </c>
      <c r="C179" t="s">
        <v>29</v>
      </c>
      <c r="D179" t="s">
        <v>63</v>
      </c>
      <c r="E179" t="s">
        <v>31</v>
      </c>
      <c r="F179" t="s">
        <v>64</v>
      </c>
      <c r="G179" s="3">
        <v>6</v>
      </c>
      <c r="H179" s="4">
        <v>2400</v>
      </c>
      <c r="I179" s="4">
        <v>1450</v>
      </c>
      <c r="J179" t="s">
        <v>47</v>
      </c>
      <c r="K179" t="s">
        <v>59</v>
      </c>
      <c r="L179">
        <f t="shared" si="15"/>
        <v>14400</v>
      </c>
      <c r="M179">
        <f t="shared" si="16"/>
        <v>8700</v>
      </c>
      <c r="N179">
        <f t="shared" si="17"/>
        <v>5700</v>
      </c>
    </row>
    <row r="180" spans="1:14">
      <c r="A180" t="s">
        <v>241</v>
      </c>
      <c r="B180" s="2">
        <v>45837</v>
      </c>
      <c r="C180" t="s">
        <v>12</v>
      </c>
      <c r="D180" t="s">
        <v>13</v>
      </c>
      <c r="E180" t="s">
        <v>45</v>
      </c>
      <c r="F180" t="s">
        <v>75</v>
      </c>
      <c r="G180" s="3">
        <v>3</v>
      </c>
      <c r="H180" s="4">
        <v>5600</v>
      </c>
      <c r="I180" s="4">
        <v>4100</v>
      </c>
      <c r="J180" t="s">
        <v>27</v>
      </c>
      <c r="K180" t="s">
        <v>59</v>
      </c>
      <c r="L180">
        <f t="shared" si="15"/>
        <v>16800</v>
      </c>
      <c r="M180">
        <f t="shared" si="16"/>
        <v>12300</v>
      </c>
      <c r="N180">
        <f t="shared" si="17"/>
        <v>4500</v>
      </c>
    </row>
    <row r="181" spans="1:14">
      <c r="A181" t="s">
        <v>242</v>
      </c>
      <c r="B181" s="2">
        <v>45736</v>
      </c>
      <c r="C181" t="s">
        <v>12</v>
      </c>
      <c r="D181" t="s">
        <v>79</v>
      </c>
      <c r="E181" t="s">
        <v>31</v>
      </c>
      <c r="F181" t="s">
        <v>32</v>
      </c>
      <c r="G181" s="3">
        <v>1</v>
      </c>
      <c r="H181" s="4">
        <v>13050</v>
      </c>
      <c r="I181" s="4">
        <v>11200</v>
      </c>
      <c r="J181" t="s">
        <v>16</v>
      </c>
      <c r="K181" t="s">
        <v>59</v>
      </c>
      <c r="L181">
        <f t="shared" si="15"/>
        <v>13050</v>
      </c>
      <c r="M181">
        <f t="shared" si="16"/>
        <v>11200</v>
      </c>
      <c r="N181">
        <f t="shared" si="17"/>
        <v>1850</v>
      </c>
    </row>
    <row r="186" spans="1:14">
      <c r="D186">
        <f>COUNTBLANK(E2:E181)</f>
        <v>1</v>
      </c>
    </row>
    <row r="188" spans="1:14">
      <c r="C188" t="b">
        <f>EXACT(E1,"electronics")</f>
        <v>0</v>
      </c>
    </row>
    <row r="189" spans="1:14">
      <c r="C189">
        <f>COUNTIF(C2:C181,"south")</f>
        <v>42</v>
      </c>
      <c r="D189">
        <f>COUNTBLANK(Table1[City])</f>
        <v>2</v>
      </c>
      <c r="E189">
        <f ca="1">E189</f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1D35-8DE3-420F-83D3-D1403DF9D3E0}">
  <dimension ref="A1:H13"/>
  <sheetViews>
    <sheetView workbookViewId="0">
      <selection activeCell="L18" sqref="L18"/>
    </sheetView>
  </sheetViews>
  <sheetFormatPr defaultRowHeight="15"/>
  <cols>
    <col min="1" max="1" width="13.42578125" customWidth="1"/>
    <col min="2" max="2" width="32" customWidth="1"/>
    <col min="3" max="3" width="12.7109375" customWidth="1"/>
    <col min="4" max="4" width="9.140625" customWidth="1"/>
    <col min="5" max="5" width="12.5703125" customWidth="1"/>
    <col min="7" max="7" width="11" customWidth="1"/>
    <col min="8" max="8" width="13" customWidth="1"/>
    <col min="9" max="9" width="10.42578125" customWidth="1"/>
  </cols>
  <sheetData>
    <row r="1" spans="1:8">
      <c r="A1" t="s">
        <v>268</v>
      </c>
      <c r="B1" t="s">
        <v>269</v>
      </c>
      <c r="D1" t="s">
        <v>2</v>
      </c>
      <c r="E1" t="s">
        <v>270</v>
      </c>
      <c r="G1" t="s">
        <v>4</v>
      </c>
      <c r="H1" t="s">
        <v>272</v>
      </c>
    </row>
    <row r="2" spans="1:8">
      <c r="A2" t="s">
        <v>270</v>
      </c>
      <c r="B2">
        <f>SUM(Raw_Sales_Data!L:L)</f>
        <v>1750265.5</v>
      </c>
      <c r="D2" t="s">
        <v>57</v>
      </c>
      <c r="E2">
        <f>SUMIF(Raw_Sales_Data!C:C,D2,Raw_Sales_Data!L:L)</f>
        <v>241601</v>
      </c>
      <c r="G2" t="s">
        <v>31</v>
      </c>
      <c r="H2">
        <f>SUMIF(Raw_Sales_Data!E$2:E$182,G2,Raw_Sales_Data!N$2:N$182)</f>
        <v>127840</v>
      </c>
    </row>
    <row r="3" spans="1:8">
      <c r="A3" t="s">
        <v>271</v>
      </c>
      <c r="B3">
        <f>SUM(Raw_Sales_Data!M:M)</f>
        <v>1254550</v>
      </c>
      <c r="D3" t="s">
        <v>12</v>
      </c>
      <c r="E3">
        <f>SUMIF(Raw_Sales_Data!C:C,D3,Raw_Sales_Data!L:L)</f>
        <v>445000</v>
      </c>
      <c r="G3" t="s">
        <v>41</v>
      </c>
      <c r="H3">
        <f>SUMIF(Raw_Sales_Data!E$2:E$182,G3,Raw_Sales_Data!N$2:N$182)</f>
        <v>86560</v>
      </c>
    </row>
    <row r="4" spans="1:8">
      <c r="A4" t="s">
        <v>272</v>
      </c>
      <c r="B4">
        <f>SUM(Raw_Sales_Data!N:N)</f>
        <v>495715.5</v>
      </c>
      <c r="D4" t="s">
        <v>29</v>
      </c>
      <c r="E4">
        <f>SUMIF(Raw_Sales_Data!C:C,D4,Raw_Sales_Data!L:L)</f>
        <v>460998.5</v>
      </c>
      <c r="G4" t="s">
        <v>14</v>
      </c>
      <c r="H4">
        <f>SUMIF(Raw_Sales_Data!E$2:E$182,G4,Raw_Sales_Data!N$2:N$182)</f>
        <v>22388</v>
      </c>
    </row>
    <row r="5" spans="1:8">
      <c r="A5" t="s">
        <v>274</v>
      </c>
      <c r="B5" s="8">
        <f>B4/B2</f>
        <v>0.28322303102015095</v>
      </c>
      <c r="D5" t="s">
        <v>24</v>
      </c>
      <c r="E5">
        <f>SUMIF(Raw_Sales_Data!C:C,D5,Raw_Sales_Data!L:L)</f>
        <v>602666</v>
      </c>
      <c r="G5" t="s">
        <v>20</v>
      </c>
      <c r="H5">
        <f>SUMIF(Raw_Sales_Data!E$2:E$182,G5,Raw_Sales_Data!N$2:N$182)</f>
        <v>116177.5</v>
      </c>
    </row>
    <row r="6" spans="1:8">
      <c r="G6" t="s">
        <v>45</v>
      </c>
      <c r="H6">
        <f>SUMIF(Raw_Sales_Data!E$2:E$182,G6,Raw_Sales_Data!N$2:N$182)</f>
        <v>142090</v>
      </c>
    </row>
    <row r="11" spans="1:8">
      <c r="H11">
        <f ca="1">COUNTA(Raw_Sales_Data!E:E)</f>
        <v>0</v>
      </c>
    </row>
    <row r="12" spans="1:8">
      <c r="H12">
        <f>COUNTA(Raw_Sales_Data!A2:A182)</f>
        <v>180</v>
      </c>
    </row>
    <row r="13" spans="1:8">
      <c r="F13">
        <f ca="1">COUNTIF(Raw_Sales_Data!E:E,"Electronics")</f>
        <v>0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F848-3062-4797-9A60-02600E1EB98F}">
  <dimension ref="A1:H25"/>
  <sheetViews>
    <sheetView topLeftCell="A7" workbookViewId="0"/>
  </sheetViews>
  <sheetFormatPr defaultRowHeight="15"/>
  <cols>
    <col min="1" max="1" width="10.140625" customWidth="1"/>
    <col min="2" max="2" width="12.7109375" bestFit="1" customWidth="1"/>
    <col min="4" max="4" width="10.7109375" customWidth="1"/>
    <col min="5" max="5" width="11.140625" bestFit="1" customWidth="1"/>
    <col min="7" max="7" width="12" customWidth="1"/>
  </cols>
  <sheetData>
    <row r="1" spans="1:8" ht="23.25">
      <c r="A1" s="12" t="s">
        <v>275</v>
      </c>
      <c r="B1" s="12" t="s">
        <v>275</v>
      </c>
    </row>
    <row r="3" spans="1:8">
      <c r="A3" s="11" t="s">
        <v>270</v>
      </c>
      <c r="B3" s="10">
        <f>'Sales Summary'!B2</f>
        <v>1750265.5</v>
      </c>
      <c r="D3" s="11" t="s">
        <v>272</v>
      </c>
      <c r="E3" s="10">
        <f>'Sales Summary'!B4</f>
        <v>495715.5</v>
      </c>
      <c r="G3" s="11" t="s">
        <v>274</v>
      </c>
      <c r="H3" s="9">
        <f>'Sales Summary'!B5</f>
        <v>0.28322303102015095</v>
      </c>
    </row>
    <row r="19" spans="1:1" ht="18.75">
      <c r="A19" s="13" t="s">
        <v>276</v>
      </c>
    </row>
    <row r="21" spans="1:1">
      <c r="A21" t="s">
        <v>277</v>
      </c>
    </row>
    <row r="23" spans="1:1">
      <c r="A23" t="s">
        <v>278</v>
      </c>
    </row>
    <row r="25" spans="1:1">
      <c r="A25" t="s">
        <v>279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" customWidth="1"/>
    <col min="2" max="2" width="110" customWidth="1"/>
  </cols>
  <sheetData>
    <row r="1" spans="1:2" ht="30" customHeight="1">
      <c r="A1" s="5" t="s">
        <v>243</v>
      </c>
      <c r="B1" s="5"/>
    </row>
    <row r="2" spans="1:2" ht="33.950000000000003" customHeight="1">
      <c r="A2" s="6" t="s">
        <v>244</v>
      </c>
      <c r="B2" s="6" t="s">
        <v>245</v>
      </c>
    </row>
    <row r="3" spans="1:2" ht="33.950000000000003" customHeight="1">
      <c r="A3" s="6" t="s">
        <v>246</v>
      </c>
      <c r="B3" s="6" t="s">
        <v>247</v>
      </c>
    </row>
    <row r="4" spans="1:2" ht="33.950000000000003" customHeight="1">
      <c r="A4" s="6" t="s">
        <v>248</v>
      </c>
      <c r="B4" s="6" t="s">
        <v>249</v>
      </c>
    </row>
    <row r="5" spans="1:2" ht="33.950000000000003" customHeight="1">
      <c r="A5" s="6" t="s">
        <v>250</v>
      </c>
      <c r="B5" s="6" t="s">
        <v>251</v>
      </c>
    </row>
    <row r="6" spans="1:2" ht="33.950000000000003" customHeight="1">
      <c r="A6" s="6" t="s">
        <v>252</v>
      </c>
      <c r="B6" s="6" t="s">
        <v>253</v>
      </c>
    </row>
    <row r="7" spans="1:2" ht="33.950000000000003" customHeight="1">
      <c r="A7" s="6" t="s">
        <v>254</v>
      </c>
      <c r="B7" s="6" t="s">
        <v>255</v>
      </c>
    </row>
    <row r="8" spans="1:2" ht="33.950000000000003" customHeight="1">
      <c r="A8" s="6" t="s">
        <v>256</v>
      </c>
      <c r="B8" s="6" t="s">
        <v>257</v>
      </c>
    </row>
    <row r="9" spans="1:2" ht="33.950000000000003" customHeight="1">
      <c r="A9" s="6" t="s">
        <v>258</v>
      </c>
      <c r="B9" s="6" t="s">
        <v>259</v>
      </c>
    </row>
    <row r="10" spans="1:2" ht="33.950000000000003" customHeight="1">
      <c r="A10" s="6" t="s">
        <v>260</v>
      </c>
      <c r="B10" s="6" t="s">
        <v>261</v>
      </c>
    </row>
    <row r="11" spans="1:2" ht="33.950000000000003" customHeight="1">
      <c r="A11" s="6" t="s">
        <v>262</v>
      </c>
      <c r="B11" s="6" t="s">
        <v>263</v>
      </c>
    </row>
    <row r="12" spans="1:2" ht="33.950000000000003" customHeight="1">
      <c r="A12" s="6" t="s">
        <v>264</v>
      </c>
      <c r="B12" s="6" t="s">
        <v>265</v>
      </c>
    </row>
  </sheetData>
  <autoFilter ref="A1:B1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Raw_Sales_Data</vt:lpstr>
      <vt:lpstr>Sales Summary</vt:lpstr>
      <vt:lpstr>Dashboard</vt:lpstr>
      <vt:lpstr>Start_Here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Rayyan abdul Waheed</cp:lastModifiedBy>
  <dcterms:created xsi:type="dcterms:W3CDTF">2026-10-19T20:41:05Z</dcterms:created>
  <dcterms:modified xsi:type="dcterms:W3CDTF">2026-10-25T14:23:53Z</dcterms:modified>
</cp:coreProperties>
</file>